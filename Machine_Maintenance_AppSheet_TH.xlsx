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คู่มือ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achines" sheetId="3" state="visible" r:id="rId3"/>
    <sheet xmlns:r="http://schemas.openxmlformats.org/officeDocument/2006/relationships" name="Technicians" sheetId="4" state="visible" r:id="rId4"/>
    <sheet xmlns:r="http://schemas.openxmlformats.org/officeDocument/2006/relationships" name="WorkOrders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RepairHistory" sheetId="7" state="visible" r:id="rId7"/>
    <sheet xmlns:r="http://schemas.openxmlformats.org/officeDocument/2006/relationships" name="Parts" sheetId="8" state="visible" r:id="rId8"/>
    <sheet xmlns:r="http://schemas.openxmlformats.org/officeDocument/2006/relationships" name="PartUsage" sheetId="9" state="visible" r:id="rId9"/>
    <sheet xmlns:r="http://schemas.openxmlformats.org/officeDocument/2006/relationships" name="StatusLog" sheetId="10" state="visible" r:id="rId10"/>
    <sheet xmlns:r="http://schemas.openxmlformats.org/officeDocument/2006/relationships" name="Settings" sheetId="11" state="visible" r:id="rId11"/>
    <sheet xmlns:r="http://schemas.openxmlformats.org/officeDocument/2006/relationships" name="AppSheet_Config" sheetId="12" state="visible" r:id="rId12"/>
    <sheet xmlns:r="http://schemas.openxmlformats.org/officeDocument/2006/relationships" name="Lists" sheetId="13" state="hidden" r:id="rId13"/>
  </sheets>
  <definedNames>
    <definedName name="ProblemCategoryList">'Lists'!$A$2:$A$10</definedName>
    <definedName name="PriorityList">'Lists'!$B$2:$B$5</definedName>
    <definedName name="WorkOrderStatusList">'Lists'!$C$2:$C$10</definedName>
    <definedName name="AssignmentRoleList">'Lists'!$D$2:$D$4</definedName>
    <definedName name="AssignmentStatusList">'Lists'!$E$2:$E$7</definedName>
    <definedName name="MachineStatusList">'Lists'!$F$2:$F$5</definedName>
    <definedName name="CriticalityList">'Lists'!$G$2:$G$4</definedName>
    <definedName name="SkillGroupList">'Lists'!$H$2:$H$8</definedName>
    <definedName name="AppRoleList">'Lists'!$I$2:$I$5</definedName>
    <definedName name="PartCategoryList">'Lists'!$J$2:$J$10</definedName>
    <definedName name="UnitList">'Lists'!$K$2:$K$7</definedName>
    <definedName name="BooleanList">'Lists'!$L$2:$L$3</definedName>
    <definedName name="RatingList">'Lists'!$M$2:$M$6</definedName>
    <definedName name="_xlnm._FilterDatabase" localSheetId="2" hidden="1">'Machines'!$A$1:$T$7</definedName>
    <definedName name="_xlnm._FilterDatabase" localSheetId="3" hidden="1">'Technicians'!$A$1:$J$6</definedName>
    <definedName name="_xlnm._FilterDatabase" localSheetId="4" hidden="1">'WorkOrders'!$A$1:$AH$17</definedName>
    <definedName name="_xlnm._FilterDatabase" localSheetId="5" hidden="1">'Assignments'!$A$1:$K$18</definedName>
    <definedName name="_xlnm._FilterDatabase" localSheetId="6" hidden="1">'RepairHistory'!$A$1:$T$13</definedName>
    <definedName name="_xlnm._FilterDatabase" localSheetId="7" hidden="1">'Parts'!$A$1:$L$9</definedName>
    <definedName name="_xlnm._FilterDatabase" localSheetId="8" hidden="1">'PartUsage'!$A$1:$I$16</definedName>
    <definedName name="_xlnm._FilterDatabase" localSheetId="9" hidden="1">'StatusLog'!$A$1:$G$97</definedName>
    <definedName name="_xlnm._FilterDatabase" localSheetId="10" hidden="1">'Settings'!$A$1:$F$65</definedName>
    <definedName name="_xlnm._FilterDatabase" localSheetId="11" hidden="1">'AppSheet_Config'!$A$3:$J$47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dd/mm/yyyy"/>
    <numFmt numFmtId="167" formatCode="dd/mm/yyyy hh:mm"/>
    <numFmt numFmtId="168" formatCode="0.0%"/>
  </numFmts>
  <fonts count="11">
    <font>
      <name val="Calibri"/>
      <family val="2"/>
      <color theme="1"/>
      <sz val="11"/>
      <scheme val="minor"/>
    </font>
    <font>
      <name val="Aptos"/>
      <b val="1"/>
      <color rgb="00111827"/>
      <sz val="10"/>
    </font>
    <font>
      <name val="Aptos"/>
      <color rgb="00111827"/>
      <sz val="10"/>
    </font>
    <font>
      <name val="Aptos Display"/>
      <b val="1"/>
      <color rgb="00FFFFFF"/>
      <sz val="20"/>
    </font>
    <font>
      <name val="Aptos"/>
      <color rgb="00374151"/>
      <sz val="10"/>
    </font>
    <font>
      <name val="Aptos"/>
      <b val="1"/>
      <color rgb="00374151"/>
      <sz val="10"/>
    </font>
    <font>
      <name val="Aptos Display"/>
      <b val="1"/>
      <color rgb="001F4E78"/>
      <sz val="18"/>
    </font>
    <font>
      <b val="1"/>
    </font>
    <font>
      <b val="1"/>
      <color rgb="001F4E78"/>
    </font>
    <font>
      <name val="Aptos"/>
      <b val="1"/>
      <color rgb="001F4E78"/>
      <sz val="12"/>
    </font>
    <font>
      <b val="1"/>
      <color rgb="001F4E78"/>
      <sz val="14"/>
    </font>
  </fonts>
  <fills count="9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1F4E78"/>
      </patternFill>
    </fill>
    <fill>
      <patternFill patternType="solid">
        <fgColor rgb="00EEF5FA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/>
    </xf>
    <xf numFmtId="0" fontId="7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0" fillId="8" borderId="0" applyAlignment="1" pivotButton="0" quotePrefix="0" xfId="0">
      <alignment horizontal="center" vertical="center" wrapText="1"/>
    </xf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1" fontId="6" fillId="5" borderId="1" pivotButton="0" quotePrefix="0" xfId="0"/>
    <xf numFmtId="1" fontId="6" fillId="6" borderId="1" pivotButton="0" quotePrefix="0" xfId="0"/>
    <xf numFmtId="2" fontId="6" fillId="7" borderId="1" pivotButton="0" quotePrefix="0" xfId="0"/>
    <xf numFmtId="2" fontId="6" fillId="8" borderId="1" pivotButton="0" quotePrefix="0" xfId="0"/>
    <xf numFmtId="2" fontId="6" fillId="5" borderId="1" pivotButton="0" quotePrefix="0" xfId="0"/>
    <xf numFmtId="1" fontId="6" fillId="8" borderId="1" pivotButton="0" quotePrefix="0" xfId="0"/>
    <xf numFmtId="1" fontId="6" fillId="7" borderId="1" pivotButton="0" quotePrefix="0" xfId="0"/>
    <xf numFmtId="168" fontId="6" fillId="8" borderId="1" pivotButton="0" quotePrefix="0" xfId="0"/>
    <xf numFmtId="4" fontId="6" fillId="6" borderId="1" pivotButton="0" quotePrefix="0" xfId="0"/>
    <xf numFmtId="0" fontId="7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0" fontId="7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8" fillId="5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167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9">
    <dxf>
      <fill>
        <patternFill patternType="solid">
          <fgColor rgb="00DBEAFE"/>
        </patternFill>
      </fill>
    </dxf>
    <dxf>
      <fill>
        <patternFill patternType="solid">
          <fgColor rgb="00E0E7FF"/>
        </patternFill>
      </fill>
    </dxf>
    <dxf>
      <fill>
        <patternFill patternType="solid">
          <fgColor rgb="00EDE9FE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FEDD5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CCFBF1"/>
        </patternFill>
      </fill>
    </dxf>
    <dxf>
      <fill>
        <patternFill patternType="solid">
          <fgColor rgb="00E5E7EB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Downtime ตามเครื่องจักร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'Dashboard'!$A$12:$A$17</f>
            </numRef>
          </cat>
          <val>
            <numRef>
              <f>'Dashboard'!$C$12:$C$17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ชั่วโมง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เครื่องจักร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สัดส่วนสถานะใบงาน</a:t>
            </a:r>
          </a:p>
        </rich>
      </tx>
    </title>
    <plotArea>
      <pieChart>
        <varyColors val="1"/>
        <ser>
          <idx val="0"/>
          <order val="0"/>
          <tx>
            <strRef>
              <f>'Dashboard'!B21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'Dashboard'!$A$22:$A$30</f>
            </numRef>
          </cat>
          <val>
            <numRef>
              <f>'Dashboard'!$B$22:$B$30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แนวโน้ม Downtime รายเดือน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'Dashboard'!$D$22:$D$27</f>
            </numRef>
          </cat>
          <val>
            <numRef>
              <f>'Dashboard'!$F$22:$F$27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เดือน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ชั่วโมง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10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26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28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achines" displayName="tblMachines" ref="A1:T7" headerRowCount="1">
  <autoFilter ref="A1:T7"/>
  <tableColumns count="20">
    <tableColumn id="1" name="MachineID"/>
    <tableColumn id="2" name="MachineCode"/>
    <tableColumn id="3" name="MachineNameTH"/>
    <tableColumn id="4" name="Category"/>
    <tableColumn id="5" name="Location"/>
    <tableColumn id="6" name="ProductionLine"/>
    <tableColumn id="7" name="Manufacturer"/>
    <tableColumn id="8" name="Model"/>
    <tableColumn id="9" name="SerialNo"/>
    <tableColumn id="10" name="CommissionDate"/>
    <tableColumn id="11" name="Criticality"/>
    <tableColumn id="12" name="MachineStatus"/>
    <tableColumn id="13" name="PlannedHoursPerDay"/>
    <tableColumn id="14" name="LastPMDate"/>
    <tableColumn id="15" name="NextPMDate"/>
    <tableColumn id="16" name="OwnerDepartment"/>
    <tableColumn id="17" name="Image"/>
    <tableColumn id="18" name="BarcodeValue"/>
    <tableColumn id="19" name="Active"/>
    <tableColumn id="20" name="Notes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blTechnicians" displayName="tblTechnicians" ref="A1:J6" headerRowCount="1">
  <autoFilter ref="A1:J6"/>
  <tableColumns count="10">
    <tableColumn id="1" name="TechnicianID"/>
    <tableColumn id="2" name="EmployeeCode"/>
    <tableColumn id="3" name="FullNameTH"/>
    <tableColumn id="4" name="Team"/>
    <tableColumn id="5" name="SkillGroup"/>
    <tableColumn id="6" name="Phone"/>
    <tableColumn id="7" name="Email"/>
    <tableColumn id="8" name="AppRole"/>
    <tableColumn id="9" name="HourlyRate"/>
    <tableColumn id="10" name="Active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blWorkOrders" displayName="tblWorkOrders" ref="A1:AH17" headerRowCount="1">
  <autoFilter ref="A1:AH17"/>
  <tableColumns count="34">
    <tableColumn id="1" name="WorkOrderID"/>
    <tableColumn id="2" name="RequestDateTime"/>
    <tableColumn id="3" name="RequesterName"/>
    <tableColumn id="4" name="RequesterEmail"/>
    <tableColumn id="5" name="MachineID"/>
    <tableColumn id="6" name="ProblemCategory"/>
    <tableColumn id="7" name="ProblemDescription"/>
    <tableColumn id="8" name="Priority"/>
    <tableColumn id="9" name="MachineStopped"/>
    <tableColumn id="10" name="PhotoBefore"/>
    <tableColumn id="11" name="WorkOrderStatus"/>
    <tableColumn id="12" name="PrimaryTechnicianID"/>
    <tableColumn id="13" name="AssignedAt"/>
    <tableColumn id="14" name="AcceptedAt"/>
    <tableColumn id="15" name="StartedAt"/>
    <tableColumn id="16" name="CompletedAt"/>
    <tableColumn id="17" name="VerifiedAt"/>
    <tableColumn id="18" name="ClosedAt"/>
    <tableColumn id="19" name="SLAHours"/>
    <tableColumn id="20" name="DueAt"/>
    <tableColumn id="21" name="SLAStatus"/>
    <tableColumn id="22" name="DowntimeMinutes"/>
    <tableColumn id="23" name="RootCause"/>
    <tableColumn id="24" name="RepairAction"/>
    <tableColumn id="25" name="PhotoAfter"/>
    <tableColumn id="26" name="LaborHours"/>
    <tableColumn id="27" name="LaborCost"/>
    <tableColumn id="28" name="PartsCost"/>
    <tableColumn id="29" name="TotalCost"/>
    <tableColumn id="30" name="RequesterConfirmed"/>
    <tableColumn id="31" name="Rating"/>
    <tableColumn id="32" name="SafetyIssue"/>
    <tableColumn id="33" name="LastUpdated"/>
    <tableColumn id="34" name="Note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blAssignments" displayName="tblAssignments" ref="A1:K18" headerRowCount="1">
  <autoFilter ref="A1:K18"/>
  <tableColumns count="11">
    <tableColumn id="1" name="AssignmentID"/>
    <tableColumn id="2" name="WorkOrderID"/>
    <tableColumn id="3" name="TechnicianID"/>
    <tableColumn id="4" name="AssignmentRole"/>
    <tableColumn id="5" name="AssignedAt"/>
    <tableColumn id="6" name="AcceptedAt"/>
    <tableColumn id="7" name="StartedAt"/>
    <tableColumn id="8" name="FinishedAt"/>
    <tableColumn id="9" name="AssignmentStatus"/>
    <tableColumn id="10" name="WorkHours"/>
    <tableColumn id="11" name="Note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blRepairHistory" displayName="tblRepairHistory" ref="A1:T13" headerRowCount="1">
  <autoFilter ref="A1:T13"/>
  <tableColumns count="20">
    <tableColumn id="1" name="RepairHistoryID"/>
    <tableColumn id="2" name="WorkOrderID"/>
    <tableColumn id="3" name="MachineID"/>
    <tableColumn id="4" name="TechnicianID"/>
    <tableColumn id="5" name="FailureStart"/>
    <tableColumn id="6" name="RepairStart"/>
    <tableColumn id="7" name="RepairEnd"/>
    <tableColumn id="8" name="ReturnedToService"/>
    <tableColumn id="9" name="FailureMode"/>
    <tableColumn id="10" name="RootCause"/>
    <tableColumn id="11" name="RepairAction"/>
    <tableColumn id="12" name="DowntimeMinutes"/>
    <tableColumn id="13" name="RepairMinutes"/>
    <tableColumn id="14" name="FailureIntervalHours"/>
    <tableColumn id="15" name="LaborCost"/>
    <tableColumn id="16" name="PartsCost"/>
    <tableColumn id="17" name="TotalCost"/>
    <tableColumn id="18" name="ClosedByEmail"/>
    <tableColumn id="19" name="ClosedAt"/>
    <tableColumn id="20" name="Note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blParts" displayName="tblParts" ref="A1:L9" headerRowCount="1">
  <autoFilter ref="A1:L9"/>
  <tableColumns count="12">
    <tableColumn id="1" name="PartID"/>
    <tableColumn id="2" name="PartCode"/>
    <tableColumn id="3" name="PartNameTH"/>
    <tableColumn id="4" name="Category"/>
    <tableColumn id="5" name="Unit"/>
    <tableColumn id="6" name="StockQty"/>
    <tableColumn id="7" name="ReorderPoint"/>
    <tableColumn id="8" name="UnitCost"/>
    <tableColumn id="9" name="Supplier"/>
    <tableColumn id="10" name="StorageLocation"/>
    <tableColumn id="11" name="Active"/>
    <tableColumn id="12" name="Notes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blPartUsage" displayName="tblPartUsage" ref="A1:I16" headerRowCount="1">
  <autoFilter ref="A1:I16"/>
  <tableColumns count="9">
    <tableColumn id="1" name="PartUsageID"/>
    <tableColumn id="2" name="WorkOrderID"/>
    <tableColumn id="3" name="PartID"/>
    <tableColumn id="4" name="Quantity"/>
    <tableColumn id="5" name="UnitCost"/>
    <tableColumn id="6" name="LineTotal"/>
    <tableColumn id="7" name="UsedByTechnicianID"/>
    <tableColumn id="8" name="UsedAt"/>
    <tableColumn id="9" name="Notes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blStatusLog" displayName="tblStatusLog" ref="A1:G97" headerRowCount="1">
  <autoFilter ref="A1:G97"/>
  <tableColumns count="7">
    <tableColumn id="1" name="StatusLogID"/>
    <tableColumn id="2" name="WorkOrderID"/>
    <tableColumn id="3" name="ChangedAt"/>
    <tableColumn id="4" name="FromStatus"/>
    <tableColumn id="5" name="ToStatus"/>
    <tableColumn id="6" name="ChangedByEmail"/>
    <tableColumn id="7" name="Comment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id="9" name="tblSettings" displayName="tblSettings" ref="A1:F65" headerRowCount="1">
  <autoFilter ref="A1:F65"/>
  <tableColumns count="6">
    <tableColumn id="1" name="SettingID"/>
    <tableColumn id="2" name="SettingType"/>
    <tableColumn id="3" name="SettingValue"/>
    <tableColumn id="4" name="SortOrder"/>
    <tableColumn id="5" name="Active"/>
    <tableColumn id="6" name="DescriptionTH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55" customWidth="1" min="4" max="4"/>
    <col width="40" customWidth="1" min="5" max="5"/>
    <col width="28" customWidth="1" min="6" max="6"/>
  </cols>
  <sheetData>
    <row r="1" ht="34" customHeight="1">
      <c r="A1" s="1" t="inlineStr">
        <is>
          <t>คู่มือระบบแจ้งซ่อมเครื่องจักร CMMS</t>
        </is>
      </c>
    </row>
    <row r="2" ht="30" customHeight="1">
      <c r="A2" s="2" t="inlineStr">
        <is>
          <t>ต้นแบบภาษาไทยสำหรับ Excel, Google Sheets และ AppSheet | มีข้อมูลตัวอย่าง ให้ลบรายการ DEMO/ตัวอย่างก่อนใช้งานจริง</t>
        </is>
      </c>
    </row>
    <row r="4" ht="25" customHeight="1">
      <c r="A4" s="3" t="inlineStr">
        <is>
          <t>โครงสร้างและความสัมพันธ์ตาราง</t>
        </is>
      </c>
    </row>
    <row r="5">
      <c r="A5" s="4" t="inlineStr">
        <is>
          <t>ลำดับ</t>
        </is>
      </c>
      <c r="B5" s="4" t="inlineStr">
        <is>
          <t>ตาราง</t>
        </is>
      </c>
      <c r="C5" s="4" t="inlineStr">
        <is>
          <t>หน้าที่</t>
        </is>
      </c>
      <c r="D5" s="4" t="inlineStr">
        <is>
          <t>ความสัมพันธ์หลัก</t>
        </is>
      </c>
      <c r="E5" s="4" t="inlineStr">
        <is>
          <t>Key</t>
        </is>
      </c>
      <c r="F5" s="4" t="inlineStr">
        <is>
          <t>หมายเหตุ</t>
        </is>
      </c>
    </row>
    <row r="6">
      <c r="A6" s="5" t="n">
        <v>1</v>
      </c>
      <c r="B6" s="5" t="inlineStr">
        <is>
          <t>Machines</t>
        </is>
      </c>
      <c r="C6" s="5" t="inlineStr">
        <is>
          <t>ทะเบียนเครื่องจักร</t>
        </is>
      </c>
      <c r="D6" s="5" t="inlineStr">
        <is>
          <t>1 เครื่อง → หลาย WorkOrders / RepairHistory</t>
        </is>
      </c>
      <c r="E6" s="5" t="inlineStr">
        <is>
          <t>MachineID</t>
        </is>
      </c>
      <c r="F6" s="5" t="inlineStr">
        <is>
          <t>ใช้ MachineCode เป็น Label/Barcode</t>
        </is>
      </c>
    </row>
    <row r="7">
      <c r="A7" s="5" t="n">
        <v>2</v>
      </c>
      <c r="B7" s="5" t="inlineStr">
        <is>
          <t>Technicians</t>
        </is>
      </c>
      <c r="C7" s="5" t="inlineStr">
        <is>
          <t>ทะเบียนช่างและสิทธิ์</t>
        </is>
      </c>
      <c r="D7" s="5" t="inlineStr">
        <is>
          <t>1 ช่าง → หลาย Assignments / RepairHistory</t>
        </is>
      </c>
      <c r="E7" s="5" t="inlineStr">
        <is>
          <t>TechnicianID</t>
        </is>
      </c>
      <c r="F7" s="5" t="inlineStr">
        <is>
          <t>รองรับ Technician และ Manager</t>
        </is>
      </c>
    </row>
    <row r="8">
      <c r="A8" s="5" t="n">
        <v>3</v>
      </c>
      <c r="B8" s="5" t="inlineStr">
        <is>
          <t>WorkOrders</t>
        </is>
      </c>
      <c r="C8" s="5" t="inlineStr">
        <is>
          <t>ใบแจ้งซ่อมและสถานะงาน</t>
        </is>
      </c>
      <c r="D8" s="5" t="inlineStr">
        <is>
          <t>อ้าง Machines และ Primary Technician</t>
        </is>
      </c>
      <c r="E8" s="5" t="inlineStr">
        <is>
          <t>WorkOrderID</t>
        </is>
      </c>
      <c r="F8" s="5" t="inlineStr">
        <is>
          <t>ตารางธุรกรรมหลัก</t>
        </is>
      </c>
    </row>
    <row r="9">
      <c r="A9" s="5" t="n">
        <v>4</v>
      </c>
      <c r="B9" s="5" t="inlineStr">
        <is>
          <t>Assignments</t>
        </is>
      </c>
      <c r="C9" s="5" t="inlineStr">
        <is>
          <t>การมอบหมาย/รับงานของช่าง</t>
        </is>
      </c>
      <c r="D9" s="5" t="inlineStr">
        <is>
          <t>หลายช่างต่อ 1 WorkOrder</t>
        </is>
      </c>
      <c r="E9" s="5" t="inlineStr">
        <is>
          <t>AssignmentID</t>
        </is>
      </c>
      <c r="F9" s="5" t="inlineStr">
        <is>
          <t>WorkOrderID และ TechnicianID เป็น Ref</t>
        </is>
      </c>
    </row>
    <row r="10">
      <c r="A10" s="5" t="n">
        <v>5</v>
      </c>
      <c r="B10" s="5" t="inlineStr">
        <is>
          <t>RepairHistory</t>
        </is>
      </c>
      <c r="C10" s="5" t="inlineStr">
        <is>
          <t>ประวัติการซ่อมที่ปิดแล้ว</t>
        </is>
      </c>
      <c r="D10" s="5" t="inlineStr">
        <is>
          <t>1 แถวต่อเหตุขัดข้องที่ปิด</t>
        </is>
      </c>
      <c r="E10" s="5" t="inlineStr">
        <is>
          <t>RepairHistoryID</t>
        </is>
      </c>
      <c r="F10" s="5" t="inlineStr">
        <is>
          <t>ใช้คำนวณ Downtime, MTTR, MTBF</t>
        </is>
      </c>
    </row>
    <row r="11">
      <c r="A11" s="5" t="n">
        <v>6</v>
      </c>
      <c r="B11" s="5" t="inlineStr">
        <is>
          <t>Parts</t>
        </is>
      </c>
      <c r="C11" s="5" t="inlineStr">
        <is>
          <t>ทะเบียนอะไหล่/สต็อก</t>
        </is>
      </c>
      <c r="D11" s="5" t="inlineStr">
        <is>
          <t>1 อะไหล่ → หลาย PartUsage</t>
        </is>
      </c>
      <c r="E11" s="5" t="inlineStr">
        <is>
          <t>PartID</t>
        </is>
      </c>
      <c r="F11" s="5" t="inlineStr">
        <is>
          <t>เตือนต่ำกว่าจุดสั่งซื้อ</t>
        </is>
      </c>
    </row>
    <row r="12">
      <c r="A12" s="5" t="n">
        <v>7</v>
      </c>
      <c r="B12" s="5" t="inlineStr">
        <is>
          <t>PartUsage</t>
        </is>
      </c>
      <c r="C12" s="5" t="inlineStr">
        <is>
          <t>รายการอะไหล่ที่ใช้</t>
        </is>
      </c>
      <c r="D12" s="5" t="inlineStr">
        <is>
          <t>หลายรายการต่อ 1 WorkOrder</t>
        </is>
      </c>
      <c r="E12" s="5" t="inlineStr">
        <is>
          <t>PartUsageID</t>
        </is>
      </c>
      <c r="F12" s="5" t="inlineStr">
        <is>
          <t>LineTotal = Quantity × UnitCost</t>
        </is>
      </c>
    </row>
    <row r="13">
      <c r="A13" s="5" t="n">
        <v>8</v>
      </c>
      <c r="B13" s="5" t="inlineStr">
        <is>
          <t>StatusLog</t>
        </is>
      </c>
      <c r="C13" s="5" t="inlineStr">
        <is>
          <t>ประวัติเปลี่ยนสถานะ</t>
        </is>
      </c>
      <c r="D13" s="5" t="inlineStr">
        <is>
          <t>หลายรายการต่อ 1 WorkOrder</t>
        </is>
      </c>
      <c r="E13" s="5" t="inlineStr">
        <is>
          <t>StatusLogID</t>
        </is>
      </c>
      <c r="F13" s="5" t="inlineStr">
        <is>
          <t>สร้างอัตโนมัติด้วย Bot</t>
        </is>
      </c>
    </row>
    <row r="14">
      <c r="A14" s="5" t="n">
        <v>9</v>
      </c>
      <c r="B14" s="5" t="inlineStr">
        <is>
          <t>Settings</t>
        </is>
      </c>
      <c r="C14" s="5" t="inlineStr">
        <is>
          <t>รายการตัวเลือกกลาง</t>
        </is>
      </c>
      <c r="D14" s="5" t="inlineStr">
        <is>
          <t>ใช้เป็น Valid If / Enum</t>
        </is>
      </c>
      <c r="E14" s="5" t="inlineStr">
        <is>
          <t>SettingID</t>
        </is>
      </c>
      <c r="F14" s="5" t="inlineStr">
        <is>
          <t>เพิ่มค่ารายการโดยไม่แก้โครงสร้างแอป</t>
        </is>
      </c>
    </row>
    <row r="16" ht="25" customHeight="1">
      <c r="A16" s="3" t="inlineStr">
        <is>
          <t>ขั้นตอนนำไปใช้กับ Google Sheets และ AppSheet</t>
        </is>
      </c>
    </row>
    <row r="17">
      <c r="A17" s="4" t="inlineStr">
        <is>
          <t>ขั้น</t>
        </is>
      </c>
      <c r="B17" s="4" t="inlineStr">
        <is>
          <t>หัวข้อ</t>
        </is>
      </c>
      <c r="C17" s="4" t="inlineStr">
        <is>
          <t>การดำเนินการ</t>
        </is>
      </c>
      <c r="D17" s="4" t="inlineStr">
        <is>
          <t>ผลที่ต้องตรวจ</t>
        </is>
      </c>
      <c r="E17" s="4" t="inlineStr"/>
      <c r="F17" s="4" t="inlineStr"/>
    </row>
    <row r="18">
      <c r="A18" s="5" t="n">
        <v>1</v>
      </c>
      <c r="B18" s="5" t="inlineStr">
        <is>
          <t>อัปโหลดไฟล์</t>
        </is>
      </c>
      <c r="C18" s="5" t="inlineStr">
        <is>
          <t>นำไฟล์ .xlsx เข้า Google Drive แล้ว Open with → Google Sheets</t>
        </is>
      </c>
      <c r="D18" s="5" t="inlineStr">
        <is>
          <t>ตรวจว่าชื่อชีตและหัวคอลัมน์ไม่เปลี่ยน</t>
        </is>
      </c>
      <c r="E18" s="5" t="inlineStr"/>
      <c r="F18" s="5" t="inlineStr"/>
    </row>
    <row r="19">
      <c r="A19" s="5" t="n">
        <v>2</v>
      </c>
      <c r="B19" s="5" t="inlineStr">
        <is>
          <t>ตั้งค่า Locale</t>
        </is>
      </c>
      <c r="C19" s="5" t="inlineStr">
        <is>
          <t>File → Settings → Locale = Thailand, Time zone = Bangkok</t>
        </is>
      </c>
      <c r="D19" s="5" t="inlineStr">
        <is>
          <t>วันเวลาแสดงถูกต้อง</t>
        </is>
      </c>
      <c r="E19" s="5" t="inlineStr"/>
      <c r="F19" s="5" t="inlineStr"/>
    </row>
    <row r="20">
      <c r="A20" s="5" t="n">
        <v>3</v>
      </c>
      <c r="B20" s="5" t="inlineStr">
        <is>
          <t>สร้าง AppSheet</t>
        </is>
      </c>
      <c r="C20" s="5" t="inlineStr">
        <is>
          <t>appsheet.com → Make a new app → Start with your own data</t>
        </is>
      </c>
      <c r="D20" s="5" t="inlineStr">
        <is>
          <t>เลือก Google Sheets ที่นำเข้า</t>
        </is>
      </c>
      <c r="E20" s="5" t="inlineStr"/>
      <c r="F20" s="5" t="inlineStr"/>
    </row>
    <row r="21">
      <c r="A21" s="5" t="n">
        <v>4</v>
      </c>
      <c r="B21" s="5" t="inlineStr">
        <is>
          <t>เพิ่มตาราง</t>
        </is>
      </c>
      <c r="C21" s="5" t="inlineStr">
        <is>
          <t>เพิ่ม Machines, Technicians, WorkOrders, Assignments, RepairHistory, Parts, PartUsage, StatusLog, Settings</t>
        </is>
      </c>
      <c r="D21" s="5" t="inlineStr">
        <is>
          <t>ไม่เพิ่ม Dashboard, คู่มือ และ Lists</t>
        </is>
      </c>
      <c r="E21" s="5" t="inlineStr"/>
      <c r="F21" s="5" t="inlineStr"/>
    </row>
    <row r="22">
      <c r="A22" s="5" t="n">
        <v>5</v>
      </c>
      <c r="B22" s="5" t="inlineStr">
        <is>
          <t>กำหนด Key/Ref</t>
        </is>
      </c>
      <c r="C22" s="5" t="inlineStr">
        <is>
          <t>ใช้ AppSheet_Config เป็นคู่มือ Type, Key, Label, Ref</t>
        </is>
      </c>
      <c r="D22" s="5" t="inlineStr">
        <is>
          <t>กด Regenerate structure ทีละตาราง</t>
        </is>
      </c>
      <c r="E22" s="5" t="inlineStr"/>
      <c r="F22" s="5" t="inlineStr"/>
    </row>
    <row r="23">
      <c r="A23" s="5" t="n">
        <v>6</v>
      </c>
      <c r="B23" s="5" t="inlineStr">
        <is>
          <t>ตั้งค่า Workflow</t>
        </is>
      </c>
      <c r="C23" s="5" t="inlineStr">
        <is>
          <t>สร้าง Actions: Assign, Accept, Start, Complete, Verify, Close</t>
        </is>
      </c>
      <c r="D23" s="5" t="inlineStr">
        <is>
          <t>เปลี่ยนสถานะและเวลาใน Action เดียว</t>
        </is>
      </c>
      <c r="E23" s="5" t="inlineStr"/>
      <c r="F23" s="5" t="inlineStr"/>
    </row>
    <row r="24">
      <c r="A24" s="5" t="n">
        <v>7</v>
      </c>
      <c r="B24" s="5" t="inlineStr">
        <is>
          <t>สร้าง Bots</t>
        </is>
      </c>
      <c r="C24" s="5" t="inlineStr">
        <is>
          <t>บันทึก StatusLog ทุกครั้งที่สถานะเปลี่ยน และสร้าง RepairHistory เมื่อ Closed</t>
        </is>
      </c>
      <c r="D24" s="5" t="inlineStr">
        <is>
          <t>ทดสอบไม่ให้สร้างซ้ำ</t>
        </is>
      </c>
      <c r="E24" s="5" t="inlineStr"/>
      <c r="F24" s="5" t="inlineStr"/>
    </row>
    <row r="25">
      <c r="A25" s="5" t="n">
        <v>8</v>
      </c>
      <c r="B25" s="5" t="inlineStr">
        <is>
          <t>Security</t>
        </is>
      </c>
      <c r="C25" s="5" t="inlineStr">
        <is>
          <t>เปิด Require sign-in และใช้ Security Filter ตามบทบาท</t>
        </is>
      </c>
      <c r="D25" s="5" t="inlineStr">
        <is>
          <t>ทดสอบ Requester/Technician/Manager</t>
        </is>
      </c>
      <c r="E25" s="5" t="inlineStr"/>
      <c r="F25" s="5" t="inlineStr"/>
    </row>
    <row r="26">
      <c r="A26" s="5" t="n">
        <v>9</v>
      </c>
      <c r="B26" s="5" t="inlineStr">
        <is>
          <t>Dashboard</t>
        </is>
      </c>
      <c r="C26" s="5" t="inlineStr">
        <is>
          <t>สร้าง Slices งานเปิด งานช่าง และงานเกิน SLA; รวมเป็น Dashboard View</t>
        </is>
      </c>
      <c r="D26" s="5" t="inlineStr">
        <is>
          <t>ใช้ชีต Dashboard เป็นตัวอย่าง KPI</t>
        </is>
      </c>
      <c r="E26" s="5" t="inlineStr"/>
      <c r="F26" s="5" t="inlineStr"/>
    </row>
    <row r="27">
      <c r="A27" s="5" t="n">
        <v>10</v>
      </c>
      <c r="B27" s="5" t="inlineStr">
        <is>
          <t>ทดสอบและ Deploy</t>
        </is>
      </c>
      <c r="C27" s="5" t="inlineStr">
        <is>
          <t>ลบข้อมูลตัวอย่าง เปลี่ยนอีเมลจริง รัน Deployment Check</t>
        </is>
      </c>
      <c r="D27" s="5" t="inlineStr">
        <is>
          <t>สำรองไฟล์ก่อนลบข้อมูลตัวอย่าง</t>
        </is>
      </c>
      <c r="E27" s="5" t="inlineStr"/>
      <c r="F27" s="5" t="inlineStr"/>
    </row>
    <row r="29" ht="25" customHeight="1">
      <c r="A29" s="3" t="inlineStr">
        <is>
          <t>เวิร์กโฟลว์สถานะที่แนะนำ</t>
        </is>
      </c>
    </row>
    <row r="30">
      <c r="A30" s="6" t="inlineStr">
        <is>
          <t>New → Assigned → Accepted → In Progress → Waiting Parts (ถ้ามี) → Completed → Verified → Closed</t>
        </is>
      </c>
    </row>
    <row r="31"/>
  </sheetData>
  <mergeCells count="6">
    <mergeCell ref="A2:F2"/>
    <mergeCell ref="A16:F16"/>
    <mergeCell ref="A1:F1"/>
    <mergeCell ref="A30:F31"/>
    <mergeCell ref="A4:F4"/>
    <mergeCell ref="A29:F29"/>
  </mergeCells>
  <pageMargins left="0.25" right="0.25" top="0.5" bottom="0.5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60A5FA"/>
    <outlinePr summaryBelow="1" summaryRight="1"/>
    <pageSetUpPr fitToPage="1"/>
  </sheetPr>
  <dimension ref="A1:N36"/>
  <sheetViews>
    <sheetView showGridLines="0" zoomScale="85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" customWidth="1" min="3" max="3"/>
    <col width="17" customWidth="1" min="4" max="4"/>
    <col width="22" customWidth="1" min="5" max="5"/>
    <col width="4" customWidth="1" min="6" max="6"/>
    <col width="17" customWidth="1" min="7" max="7"/>
    <col width="22" customWidth="1" min="8" max="8"/>
    <col width="4" customWidth="1" min="9" max="9"/>
    <col width="17" customWidth="1" min="10" max="10"/>
    <col width="22" customWidth="1" min="11" max="11"/>
    <col width="4" customWidth="1" min="12" max="12"/>
    <col width="17" customWidth="1" min="13" max="13"/>
    <col width="22" customWidth="1" min="14" max="14"/>
  </cols>
  <sheetData>
    <row r="1" ht="34" customHeight="1">
      <c r="A1" s="1" t="inlineStr">
        <is>
          <t>แดชบอร์ด CMMS — Downtime, MTTR และ MTBF</t>
        </is>
      </c>
    </row>
    <row r="2" ht="30" customHeight="1">
      <c r="A2" s="2" t="inlineStr">
        <is>
          <t>ข้อมูลตัวอย่าง ณ 23 ตุลาคม 2026 | สูตรออกแบบให้ใช้ได้ทั้ง Excel และ Google Sheets</t>
        </is>
      </c>
    </row>
    <row r="4">
      <c r="A4" s="7" t="inlineStr">
        <is>
          <t>จำนวนเครื่องจักร</t>
        </is>
      </c>
      <c r="D4" s="8" t="inlineStr">
        <is>
          <t>ใบงานเปิด</t>
        </is>
      </c>
      <c r="G4" s="9" t="inlineStr">
        <is>
          <t>Downtime รวม (ชม.)</t>
        </is>
      </c>
      <c r="J4" s="10" t="inlineStr">
        <is>
          <t>MTTR เฉลี่ย (ชม.)</t>
        </is>
      </c>
      <c r="M4" s="7" t="inlineStr">
        <is>
          <t>MTBF เฉลี่ย (ชม.)</t>
        </is>
      </c>
    </row>
    <row r="5">
      <c r="A5" s="11">
        <f>COUNTA(Machines!A:A)-1</f>
        <v/>
      </c>
      <c r="D5" s="12">
        <f>COUNTIFS(WorkOrders!K:K,"&lt;&gt;Closed",WorkOrders!K:K,"&lt;&gt;Cancelled")</f>
        <v/>
      </c>
      <c r="G5" s="13">
        <f>SUM(RepairHistory!L:L)/60</f>
        <v/>
      </c>
      <c r="J5" s="14">
        <f>AVERAGE(RepairHistory!M:M)/60</f>
        <v/>
      </c>
      <c r="M5" s="15">
        <f>AVERAGE(RepairHistory!N:N)</f>
        <v/>
      </c>
    </row>
    <row r="7">
      <c r="A7" s="10" t="inlineStr">
        <is>
          <t>งานปิดแล้ว</t>
        </is>
      </c>
      <c r="D7" s="9" t="inlineStr">
        <is>
          <t>งานเกิน SLA</t>
        </is>
      </c>
      <c r="G7" s="10" t="inlineStr">
        <is>
          <t>SLA On-time</t>
        </is>
      </c>
      <c r="J7" s="7" t="inlineStr">
        <is>
          <t>คะแนนเฉลี่ย</t>
        </is>
      </c>
      <c r="M7" s="8" t="inlineStr">
        <is>
          <t>ค่าใช้จ่ายรวม</t>
        </is>
      </c>
    </row>
    <row r="8">
      <c r="A8" s="16">
        <f>COUNTIF(WorkOrders!K:K,"Closed")</f>
        <v/>
      </c>
      <c r="D8" s="17">
        <f>COUNTIFS(WorkOrders!U:U,"Overdue",WorkOrders!K:K,"&lt;&gt;Closed")</f>
        <v/>
      </c>
      <c r="G8" s="18">
        <f>COUNTIF(WorkOrders!U:U,"On Time")/COUNTIF(WorkOrders!K:K,"Closed")</f>
        <v/>
      </c>
      <c r="J8" s="15">
        <f>AVERAGE(WorkOrders!AE:AE)</f>
        <v/>
      </c>
      <c r="M8" s="19">
        <f>SUM(RepairHistory!Q:Q)</f>
        <v/>
      </c>
    </row>
    <row r="11">
      <c r="A11" s="20" t="inlineStr">
        <is>
          <t>MachineCode</t>
        </is>
      </c>
      <c r="B11" s="20" t="inlineStr">
        <is>
          <t>ชื่อเครื่องจักร</t>
        </is>
      </c>
      <c r="C11" s="20" t="inlineStr">
        <is>
          <t>Downtime (ชม.)</t>
        </is>
      </c>
      <c r="D11" s="20" t="inlineStr">
        <is>
          <t>MTTR (ชม.)</t>
        </is>
      </c>
      <c r="E11" s="20" t="inlineStr">
        <is>
          <t>MTBF (ชม.)</t>
        </is>
      </c>
      <c r="F11" s="20" t="inlineStr">
        <is>
          <t>จำนวนครั้งซ่อม</t>
        </is>
      </c>
    </row>
    <row r="12">
      <c r="A12" s="21" t="inlineStr">
        <is>
          <t>PRESS-01</t>
        </is>
      </c>
      <c r="B12" s="21" t="inlineStr">
        <is>
          <t>เครื่องปั๊มไฮดรอลิก 1</t>
        </is>
      </c>
      <c r="C12" s="22">
        <f>SUMIF(RepairHistory!C:C,"MCH-001",RepairHistory!L:L)/60</f>
        <v/>
      </c>
      <c r="D12" s="22">
        <f>IFERROR(AVERAGEIF(RepairHistory!C:C,"MCH-001",RepairHistory!M:M)/60,0)</f>
        <v/>
      </c>
      <c r="E12" s="22">
        <f>IFERROR(AVERAGEIF(RepairHistory!C:C,"MCH-001",RepairHistory!N:N),0)</f>
        <v/>
      </c>
      <c r="F12" s="21">
        <f>COUNTIF(RepairHistory!C:C,"MCH-001")</f>
        <v/>
      </c>
    </row>
    <row r="13">
      <c r="A13" s="21" t="inlineStr">
        <is>
          <t>CONV-01</t>
        </is>
      </c>
      <c r="B13" s="21" t="inlineStr">
        <is>
          <t>สายพานลำเลียง 1</t>
        </is>
      </c>
      <c r="C13" s="22">
        <f>SUMIF(RepairHistory!C:C,"MCH-002",RepairHistory!L:L)/60</f>
        <v/>
      </c>
      <c r="D13" s="22">
        <f>IFERROR(AVERAGEIF(RepairHistory!C:C,"MCH-002",RepairHistory!M:M)/60,0)</f>
        <v/>
      </c>
      <c r="E13" s="22">
        <f>IFERROR(AVERAGEIF(RepairHistory!C:C,"MCH-002",RepairHistory!N:N),0)</f>
        <v/>
      </c>
      <c r="F13" s="21">
        <f>COUNTIF(RepairHistory!C:C,"MCH-002")</f>
        <v/>
      </c>
    </row>
    <row r="14">
      <c r="A14" s="21" t="inlineStr">
        <is>
          <t>COMP-01</t>
        </is>
      </c>
      <c r="B14" s="21" t="inlineStr">
        <is>
          <t>เครื่องอัดอากาศ 1</t>
        </is>
      </c>
      <c r="C14" s="22">
        <f>SUMIF(RepairHistory!C:C,"MCH-003",RepairHistory!L:L)/60</f>
        <v/>
      </c>
      <c r="D14" s="22">
        <f>IFERROR(AVERAGEIF(RepairHistory!C:C,"MCH-003",RepairHistory!M:M)/60,0)</f>
        <v/>
      </c>
      <c r="E14" s="22">
        <f>IFERROR(AVERAGEIF(RepairHistory!C:C,"MCH-003",RepairHistory!N:N),0)</f>
        <v/>
      </c>
      <c r="F14" s="21">
        <f>COUNTIF(RepairHistory!C:C,"MCH-003")</f>
        <v/>
      </c>
    </row>
    <row r="15">
      <c r="A15" s="21" t="inlineStr">
        <is>
          <t>PACK-01</t>
        </is>
      </c>
      <c r="B15" s="21" t="inlineStr">
        <is>
          <t>เครื่องซีลบรรจุภัณฑ์ 1</t>
        </is>
      </c>
      <c r="C15" s="22">
        <f>SUMIF(RepairHistory!C:C,"MCH-004",RepairHistory!L:L)/60</f>
        <v/>
      </c>
      <c r="D15" s="22">
        <f>IFERROR(AVERAGEIF(RepairHistory!C:C,"MCH-004",RepairHistory!M:M)/60,0)</f>
        <v/>
      </c>
      <c r="E15" s="22">
        <f>IFERROR(AVERAGEIF(RepairHistory!C:C,"MCH-004",RepairHistory!N:N),0)</f>
        <v/>
      </c>
      <c r="F15" s="21">
        <f>COUNTIF(RepairHistory!C:C,"MCH-004")</f>
        <v/>
      </c>
    </row>
    <row r="16">
      <c r="A16" s="21" t="inlineStr">
        <is>
          <t>PUMP-01</t>
        </is>
      </c>
      <c r="B16" s="21" t="inlineStr">
        <is>
          <t>ปั๊มน้ำหล่อเย็น 1</t>
        </is>
      </c>
      <c r="C16" s="22">
        <f>SUMIF(RepairHistory!C:C,"MCH-005",RepairHistory!L:L)/60</f>
        <v/>
      </c>
      <c r="D16" s="22">
        <f>IFERROR(AVERAGEIF(RepairHistory!C:C,"MCH-005",RepairHistory!M:M)/60,0)</f>
        <v/>
      </c>
      <c r="E16" s="22">
        <f>IFERROR(AVERAGEIF(RepairHistory!C:C,"MCH-005",RepairHistory!N:N),0)</f>
        <v/>
      </c>
      <c r="F16" s="21">
        <f>COUNTIF(RepairHistory!C:C,"MCH-005")</f>
        <v/>
      </c>
    </row>
    <row r="17">
      <c r="A17" s="21" t="inlineStr">
        <is>
          <t>CNC-01</t>
        </is>
      </c>
      <c r="B17" s="21" t="inlineStr">
        <is>
          <t>เครื่อง CNC 1</t>
        </is>
      </c>
      <c r="C17" s="22">
        <f>SUMIF(RepairHistory!C:C,"MCH-006",RepairHistory!L:L)/60</f>
        <v/>
      </c>
      <c r="D17" s="22">
        <f>IFERROR(AVERAGEIF(RepairHistory!C:C,"MCH-006",RepairHistory!M:M)/60,0)</f>
        <v/>
      </c>
      <c r="E17" s="22">
        <f>IFERROR(AVERAGEIF(RepairHistory!C:C,"MCH-006",RepairHistory!N:N),0)</f>
        <v/>
      </c>
      <c r="F17" s="21">
        <f>COUNTIF(RepairHistory!C:C,"MCH-006")</f>
        <v/>
      </c>
    </row>
    <row r="21">
      <c r="A21" s="23" t="inlineStr">
        <is>
          <t>สถานะใบงาน</t>
        </is>
      </c>
      <c r="B21" s="23" t="inlineStr">
        <is>
          <t>จำนวน</t>
        </is>
      </c>
      <c r="D21" s="23" t="inlineStr">
        <is>
          <t>เดือน</t>
        </is>
      </c>
      <c r="E21" s="23" t="inlineStr">
        <is>
          <t>งานปิด</t>
        </is>
      </c>
      <c r="F21" s="23" t="inlineStr">
        <is>
          <t>Downtime (ชม.)</t>
        </is>
      </c>
    </row>
    <row r="22">
      <c r="A22" s="24" t="inlineStr">
        <is>
          <t>New</t>
        </is>
      </c>
      <c r="B22" s="24">
        <f>COUNTIF(WorkOrders!K:K,A22)</f>
        <v/>
      </c>
      <c r="D22" s="25" t="n">
        <v>46143</v>
      </c>
      <c r="E22" s="24">
        <f>COUNTIFS(RepairHistory!S:S,"&gt;="&amp;D22,RepairHistory!S:S,"&lt;"&amp;EDATE(D22,1))</f>
        <v/>
      </c>
      <c r="F22" s="26">
        <f>SUMIFS(RepairHistory!L:L,RepairHistory!S:S,"&gt;="&amp;D22,RepairHistory!S:S,"&lt;"&amp;EDATE(D22,1))/60</f>
        <v/>
      </c>
    </row>
    <row r="23">
      <c r="A23" s="24" t="inlineStr">
        <is>
          <t>Assigned</t>
        </is>
      </c>
      <c r="B23" s="24">
        <f>COUNTIF(WorkOrders!K:K,A23)</f>
        <v/>
      </c>
      <c r="D23" s="25" t="n">
        <v>46174</v>
      </c>
      <c r="E23" s="24">
        <f>COUNTIFS(RepairHistory!S:S,"&gt;="&amp;D23,RepairHistory!S:S,"&lt;"&amp;EDATE(D23,1))</f>
        <v/>
      </c>
      <c r="F23" s="26">
        <f>SUMIFS(RepairHistory!L:L,RepairHistory!S:S,"&gt;="&amp;D23,RepairHistory!S:S,"&lt;"&amp;EDATE(D23,1))/60</f>
        <v/>
      </c>
    </row>
    <row r="24">
      <c r="A24" s="24" t="inlineStr">
        <is>
          <t>Accepted</t>
        </is>
      </c>
      <c r="B24" s="24">
        <f>COUNTIF(WorkOrders!K:K,A24)</f>
        <v/>
      </c>
      <c r="D24" s="25" t="n">
        <v>46204</v>
      </c>
      <c r="E24" s="24">
        <f>COUNTIFS(RepairHistory!S:S,"&gt;="&amp;D24,RepairHistory!S:S,"&lt;"&amp;EDATE(D24,1))</f>
        <v/>
      </c>
      <c r="F24" s="26">
        <f>SUMIFS(RepairHistory!L:L,RepairHistory!S:S,"&gt;="&amp;D24,RepairHistory!S:S,"&lt;"&amp;EDATE(D24,1))/60</f>
        <v/>
      </c>
    </row>
    <row r="25">
      <c r="A25" s="24" t="inlineStr">
        <is>
          <t>In Progress</t>
        </is>
      </c>
      <c r="B25" s="24">
        <f>COUNTIF(WorkOrders!K:K,A25)</f>
        <v/>
      </c>
      <c r="D25" s="25" t="n">
        <v>46235</v>
      </c>
      <c r="E25" s="24">
        <f>COUNTIFS(RepairHistory!S:S,"&gt;="&amp;D25,RepairHistory!S:S,"&lt;"&amp;EDATE(D25,1))</f>
        <v/>
      </c>
      <c r="F25" s="26">
        <f>SUMIFS(RepairHistory!L:L,RepairHistory!S:S,"&gt;="&amp;D25,RepairHistory!S:S,"&lt;"&amp;EDATE(D25,1))/60</f>
        <v/>
      </c>
    </row>
    <row r="26">
      <c r="A26" s="24" t="inlineStr">
        <is>
          <t>Waiting Parts</t>
        </is>
      </c>
      <c r="B26" s="24">
        <f>COUNTIF(WorkOrders!K:K,A26)</f>
        <v/>
      </c>
      <c r="D26" s="25" t="n">
        <v>46266</v>
      </c>
      <c r="E26" s="24">
        <f>COUNTIFS(RepairHistory!S:S,"&gt;="&amp;D26,RepairHistory!S:S,"&lt;"&amp;EDATE(D26,1))</f>
        <v/>
      </c>
      <c r="F26" s="26">
        <f>SUMIFS(RepairHistory!L:L,RepairHistory!S:S,"&gt;="&amp;D26,RepairHistory!S:S,"&lt;"&amp;EDATE(D26,1))/60</f>
        <v/>
      </c>
    </row>
    <row r="27">
      <c r="A27" s="24" t="inlineStr">
        <is>
          <t>Completed</t>
        </is>
      </c>
      <c r="B27" s="24">
        <f>COUNTIF(WorkOrders!K:K,A27)</f>
        <v/>
      </c>
      <c r="D27" s="25" t="n">
        <v>46296</v>
      </c>
      <c r="E27" s="24">
        <f>COUNTIFS(RepairHistory!S:S,"&gt;="&amp;D27,RepairHistory!S:S,"&lt;"&amp;EDATE(D27,1))</f>
        <v/>
      </c>
      <c r="F27" s="26">
        <f>SUMIFS(RepairHistory!L:L,RepairHistory!S:S,"&gt;="&amp;D27,RepairHistory!S:S,"&lt;"&amp;EDATE(D27,1))/60</f>
        <v/>
      </c>
    </row>
    <row r="28">
      <c r="A28" s="24" t="inlineStr">
        <is>
          <t>Verified</t>
        </is>
      </c>
      <c r="B28" s="24">
        <f>COUNTIF(WorkOrders!K:K,A28)</f>
        <v/>
      </c>
    </row>
    <row r="29">
      <c r="A29" s="24" t="inlineStr">
        <is>
          <t>Closed</t>
        </is>
      </c>
      <c r="B29" s="24">
        <f>COUNTIF(WorkOrders!K:K,A29)</f>
        <v/>
      </c>
    </row>
    <row r="30">
      <c r="A30" s="24" t="inlineStr">
        <is>
          <t>Cancelled</t>
        </is>
      </c>
      <c r="B30" s="24">
        <f>COUNTIF(WorkOrders!K:K,A30)</f>
        <v/>
      </c>
    </row>
    <row r="33">
      <c r="A33" s="27" t="inlineStr">
        <is>
          <t>นิยาม KPI</t>
        </is>
      </c>
    </row>
    <row r="34">
      <c r="A34" s="28" t="inlineStr">
        <is>
          <t>Downtime = เวลาที่เครื่องหยุดจาก FailureStart ถึง ReturnedToService</t>
        </is>
      </c>
    </row>
    <row r="35">
      <c r="A35" s="28" t="inlineStr">
        <is>
          <t>MTTR = ค่าเฉลี่ย RepairMinutes ÷ 60 ของงานซ่อมที่ปิดแล้ว</t>
        </is>
      </c>
    </row>
    <row r="36">
      <c r="A36" s="28" t="inlineStr">
        <is>
          <t>MTBF = ค่าเฉลี่ยชั่วโมงระหว่าง ReturnedToService ครั้งก่อนกับ FailureStart ครั้งถัดไปของเครื่องเดียวกัน</t>
        </is>
      </c>
    </row>
  </sheetData>
  <mergeCells count="6">
    <mergeCell ref="A33:F33"/>
    <mergeCell ref="A36:F36"/>
    <mergeCell ref="A2:N2"/>
    <mergeCell ref="A34:F34"/>
    <mergeCell ref="A35:F35"/>
    <mergeCell ref="A1:N1"/>
  </mergeCells>
  <pageMargins left="0.25" right="0.25" top="0.5" bottom="0.5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93C5FD"/>
    <outlinePr summaryBelow="1" summaryRight="1"/>
    <pageSetUpPr fitToPage="1"/>
  </sheetPr>
  <dimension ref="A1:T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6" customWidth="1" min="4" max="4"/>
    <col width="18" customWidth="1" min="5" max="5"/>
    <col width="16" customWidth="1" min="6" max="6"/>
    <col width="17" customWidth="1" min="7" max="7"/>
    <col width="15" customWidth="1" min="8" max="8"/>
    <col width="15" customWidth="1" min="9" max="9"/>
    <col width="14" customWidth="1" min="10" max="10"/>
    <col width="12" customWidth="1" min="11" max="11"/>
    <col width="16" customWidth="1" min="12" max="12"/>
    <col width="18" customWidth="1" min="13" max="13"/>
    <col width="14" customWidth="1" min="14" max="14"/>
    <col width="14" customWidth="1" min="15" max="15"/>
    <col width="18" customWidth="1" min="16" max="16"/>
    <col width="18" customWidth="1" min="17" max="17"/>
    <col width="18" customWidth="1" min="18" max="18"/>
    <col width="10" customWidth="1" min="19" max="19"/>
    <col width="30" customWidth="1" min="20" max="20"/>
  </cols>
  <sheetData>
    <row r="1" ht="32" customHeight="1">
      <c r="A1" s="29" t="inlineStr">
        <is>
          <t>MachineID</t>
        </is>
      </c>
      <c r="B1" s="29" t="inlineStr">
        <is>
          <t>MachineCode</t>
        </is>
      </c>
      <c r="C1" s="29" t="inlineStr">
        <is>
          <t>MachineNameTH</t>
        </is>
      </c>
      <c r="D1" s="29" t="inlineStr">
        <is>
          <t>Category</t>
        </is>
      </c>
      <c r="E1" s="29" t="inlineStr">
        <is>
          <t>Location</t>
        </is>
      </c>
      <c r="F1" s="29" t="inlineStr">
        <is>
          <t>ProductionLine</t>
        </is>
      </c>
      <c r="G1" s="29" t="inlineStr">
        <is>
          <t>Manufacturer</t>
        </is>
      </c>
      <c r="H1" s="29" t="inlineStr">
        <is>
          <t>Model</t>
        </is>
      </c>
      <c r="I1" s="29" t="inlineStr">
        <is>
          <t>SerialNo</t>
        </is>
      </c>
      <c r="J1" s="29" t="inlineStr">
        <is>
          <t>CommissionDate</t>
        </is>
      </c>
      <c r="K1" s="29" t="inlineStr">
        <is>
          <t>Criticality</t>
        </is>
      </c>
      <c r="L1" s="29" t="inlineStr">
        <is>
          <t>MachineStatus</t>
        </is>
      </c>
      <c r="M1" s="29" t="inlineStr">
        <is>
          <t>PlannedHoursPerDay</t>
        </is>
      </c>
      <c r="N1" s="29" t="inlineStr">
        <is>
          <t>LastPMDate</t>
        </is>
      </c>
      <c r="O1" s="29" t="inlineStr">
        <is>
          <t>NextPMDate</t>
        </is>
      </c>
      <c r="P1" s="29" t="inlineStr">
        <is>
          <t>OwnerDepartment</t>
        </is>
      </c>
      <c r="Q1" s="29" t="inlineStr">
        <is>
          <t>Image</t>
        </is>
      </c>
      <c r="R1" s="29" t="inlineStr">
        <is>
          <t>BarcodeValue</t>
        </is>
      </c>
      <c r="S1" s="29" t="inlineStr">
        <is>
          <t>Active</t>
        </is>
      </c>
      <c r="T1" s="29" t="inlineStr">
        <is>
          <t>Notes</t>
        </is>
      </c>
    </row>
    <row r="2">
      <c r="A2" s="30" t="inlineStr">
        <is>
          <t>MCH-001</t>
        </is>
      </c>
      <c r="B2" s="30" t="inlineStr">
        <is>
          <t>PRESS-01</t>
        </is>
      </c>
      <c r="C2" s="30" t="inlineStr">
        <is>
          <t>เครื่องปั๊มไฮดรอลิก 1</t>
        </is>
      </c>
      <c r="D2" s="30" t="inlineStr">
        <is>
          <t>Press</t>
        </is>
      </c>
      <c r="E2" s="30" t="inlineStr">
        <is>
          <t>อาคาร A</t>
        </is>
      </c>
      <c r="F2" s="30" t="inlineStr">
        <is>
          <t>Line 1</t>
        </is>
      </c>
      <c r="G2" s="30" t="inlineStr">
        <is>
          <t>Thai Press</t>
        </is>
      </c>
      <c r="H2" s="30" t="inlineStr">
        <is>
          <t>HP-500</t>
        </is>
      </c>
      <c r="I2" s="30" t="inlineStr">
        <is>
          <t>SN-P001</t>
        </is>
      </c>
      <c r="J2" s="31" t="n">
        <v>44287</v>
      </c>
      <c r="K2" s="30" t="inlineStr">
        <is>
          <t>High</t>
        </is>
      </c>
      <c r="L2" s="30" t="inlineStr">
        <is>
          <t>Running</t>
        </is>
      </c>
      <c r="M2" s="30" t="n">
        <v>20</v>
      </c>
      <c r="N2" s="31" t="n">
        <v>46280</v>
      </c>
      <c r="O2" s="31" t="n">
        <v>46371</v>
      </c>
      <c r="P2" s="30" t="inlineStr">
        <is>
          <t>Production</t>
        </is>
      </c>
      <c r="Q2" s="30" t="inlineStr"/>
      <c r="R2" s="30" t="inlineStr">
        <is>
          <t>PRESS-01</t>
        </is>
      </c>
      <c r="S2" s="30" t="b">
        <v>1</v>
      </c>
      <c r="T2" s="30" t="inlineStr">
        <is>
          <t>เครื่องจักรวิกฤตของ Line 1</t>
        </is>
      </c>
    </row>
    <row r="3">
      <c r="A3" s="30" t="inlineStr">
        <is>
          <t>MCH-002</t>
        </is>
      </c>
      <c r="B3" s="30" t="inlineStr">
        <is>
          <t>CONV-01</t>
        </is>
      </c>
      <c r="C3" s="30" t="inlineStr">
        <is>
          <t>สายพานลำเลียง 1</t>
        </is>
      </c>
      <c r="D3" s="30" t="inlineStr">
        <is>
          <t>Conveyor</t>
        </is>
      </c>
      <c r="E3" s="30" t="inlineStr">
        <is>
          <t>อาคาร A</t>
        </is>
      </c>
      <c r="F3" s="30" t="inlineStr">
        <is>
          <t>Line 1</t>
        </is>
      </c>
      <c r="G3" s="30" t="inlineStr">
        <is>
          <t>MoveFast</t>
        </is>
      </c>
      <c r="H3" s="30" t="inlineStr">
        <is>
          <t>CV-120</t>
        </is>
      </c>
      <c r="I3" s="30" t="inlineStr">
        <is>
          <t>SN-C001</t>
        </is>
      </c>
      <c r="J3" s="31" t="n">
        <v>44581</v>
      </c>
      <c r="K3" s="30" t="inlineStr">
        <is>
          <t>Medium</t>
        </is>
      </c>
      <c r="L3" s="30" t="inlineStr">
        <is>
          <t>Running</t>
        </is>
      </c>
      <c r="M3" s="30" t="n">
        <v>20</v>
      </c>
      <c r="N3" s="31" t="n">
        <v>46235</v>
      </c>
      <c r="O3" s="31" t="n">
        <v>46327</v>
      </c>
      <c r="P3" s="30" t="inlineStr">
        <is>
          <t>Production</t>
        </is>
      </c>
      <c r="Q3" s="30" t="inlineStr"/>
      <c r="R3" s="30" t="inlineStr">
        <is>
          <t>CONV-01</t>
        </is>
      </c>
      <c r="S3" s="30" t="b">
        <v>1</v>
      </c>
      <c r="T3" s="30" t="inlineStr"/>
    </row>
    <row r="4">
      <c r="A4" s="30" t="inlineStr">
        <is>
          <t>MCH-003</t>
        </is>
      </c>
      <c r="B4" s="30" t="inlineStr">
        <is>
          <t>COMP-01</t>
        </is>
      </c>
      <c r="C4" s="30" t="inlineStr">
        <is>
          <t>เครื่องอัดอากาศ 1</t>
        </is>
      </c>
      <c r="D4" s="30" t="inlineStr">
        <is>
          <t>Compressor</t>
        </is>
      </c>
      <c r="E4" s="30" t="inlineStr">
        <is>
          <t>Utility Room</t>
        </is>
      </c>
      <c r="F4" s="30" t="inlineStr">
        <is>
          <t>Utility</t>
        </is>
      </c>
      <c r="G4" s="30" t="inlineStr">
        <is>
          <t>AirPro</t>
        </is>
      </c>
      <c r="H4" s="30" t="inlineStr">
        <is>
          <t>AP-75</t>
        </is>
      </c>
      <c r="I4" s="30" t="inlineStr">
        <is>
          <t>SN-A001</t>
        </is>
      </c>
      <c r="J4" s="31" t="n">
        <v>44023</v>
      </c>
      <c r="K4" s="30" t="inlineStr">
        <is>
          <t>High</t>
        </is>
      </c>
      <c r="L4" s="30" t="inlineStr">
        <is>
          <t>Running</t>
        </is>
      </c>
      <c r="M4" s="30" t="n">
        <v>24</v>
      </c>
      <c r="N4" s="31" t="n">
        <v>46213</v>
      </c>
      <c r="O4" s="31" t="n">
        <v>46305</v>
      </c>
      <c r="P4" s="30" t="inlineStr">
        <is>
          <t>Engineering</t>
        </is>
      </c>
      <c r="Q4" s="30" t="inlineStr"/>
      <c r="R4" s="30" t="inlineStr">
        <is>
          <t>COMP-01</t>
        </is>
      </c>
      <c r="S4" s="30" t="b">
        <v>1</v>
      </c>
      <c r="T4" s="30" t="inlineStr">
        <is>
          <t>มีเครื่องสำรอง 1 เครื่อง</t>
        </is>
      </c>
    </row>
    <row r="5">
      <c r="A5" s="30" t="inlineStr">
        <is>
          <t>MCH-004</t>
        </is>
      </c>
      <c r="B5" s="30" t="inlineStr">
        <is>
          <t>PACK-01</t>
        </is>
      </c>
      <c r="C5" s="30" t="inlineStr">
        <is>
          <t>เครื่องซีลบรรจุภัณฑ์ 1</t>
        </is>
      </c>
      <c r="D5" s="30" t="inlineStr">
        <is>
          <t>Packaging</t>
        </is>
      </c>
      <c r="E5" s="30" t="inlineStr">
        <is>
          <t>อาคาร B</t>
        </is>
      </c>
      <c r="F5" s="30" t="inlineStr">
        <is>
          <t>Packing</t>
        </is>
      </c>
      <c r="G5" s="30" t="inlineStr">
        <is>
          <t>PackMaster</t>
        </is>
      </c>
      <c r="H5" s="30" t="inlineStr">
        <is>
          <t>PM-20</t>
        </is>
      </c>
      <c r="I5" s="30" t="inlineStr">
        <is>
          <t>SN-K001</t>
        </is>
      </c>
      <c r="J5" s="31" t="n">
        <v>44993</v>
      </c>
      <c r="K5" s="30" t="inlineStr">
        <is>
          <t>Medium</t>
        </is>
      </c>
      <c r="L5" s="30" t="inlineStr">
        <is>
          <t>Running</t>
        </is>
      </c>
      <c r="M5" s="30" t="n">
        <v>18</v>
      </c>
      <c r="N5" s="31" t="n">
        <v>46270</v>
      </c>
      <c r="O5" s="31" t="n">
        <v>46361</v>
      </c>
      <c r="P5" s="30" t="inlineStr">
        <is>
          <t>Packing</t>
        </is>
      </c>
      <c r="Q5" s="30" t="inlineStr"/>
      <c r="R5" s="30" t="inlineStr">
        <is>
          <t>PACK-01</t>
        </is>
      </c>
      <c r="S5" s="30" t="b">
        <v>1</v>
      </c>
      <c r="T5" s="30" t="inlineStr"/>
    </row>
    <row r="6">
      <c r="A6" s="30" t="inlineStr">
        <is>
          <t>MCH-005</t>
        </is>
      </c>
      <c r="B6" s="30" t="inlineStr">
        <is>
          <t>PUMP-01</t>
        </is>
      </c>
      <c r="C6" s="30" t="inlineStr">
        <is>
          <t>ปั๊มน้ำหล่อเย็น 1</t>
        </is>
      </c>
      <c r="D6" s="30" t="inlineStr">
        <is>
          <t>Pump</t>
        </is>
      </c>
      <c r="E6" s="30" t="inlineStr">
        <is>
          <t>Utility Room</t>
        </is>
      </c>
      <c r="F6" s="30" t="inlineStr">
        <is>
          <t>Utility</t>
        </is>
      </c>
      <c r="G6" s="30" t="inlineStr">
        <is>
          <t>FlowTech</t>
        </is>
      </c>
      <c r="H6" s="30" t="inlineStr">
        <is>
          <t>FT-40</t>
        </is>
      </c>
      <c r="I6" s="30" t="inlineStr">
        <is>
          <t>SN-W001</t>
        </is>
      </c>
      <c r="J6" s="31" t="n">
        <v>43799</v>
      </c>
      <c r="K6" s="30" t="inlineStr">
        <is>
          <t>Medium</t>
        </is>
      </c>
      <c r="L6" s="30" t="inlineStr">
        <is>
          <t>Under Repair</t>
        </is>
      </c>
      <c r="M6" s="30" t="n">
        <v>24</v>
      </c>
      <c r="N6" s="31" t="n">
        <v>46203</v>
      </c>
      <c r="O6" s="31" t="n">
        <v>46386</v>
      </c>
      <c r="P6" s="30" t="inlineStr">
        <is>
          <t>Engineering</t>
        </is>
      </c>
      <c r="Q6" s="30" t="inlineStr"/>
      <c r="R6" s="30" t="inlineStr">
        <is>
          <t>PUMP-01</t>
        </is>
      </c>
      <c r="S6" s="30" t="b">
        <v>1</v>
      </c>
      <c r="T6" s="30" t="inlineStr"/>
    </row>
    <row r="7">
      <c r="A7" s="30" t="inlineStr">
        <is>
          <t>MCH-006</t>
        </is>
      </c>
      <c r="B7" s="30" t="inlineStr">
        <is>
          <t>CNC-01</t>
        </is>
      </c>
      <c r="C7" s="30" t="inlineStr">
        <is>
          <t>เครื่อง CNC 1</t>
        </is>
      </c>
      <c r="D7" s="30" t="inlineStr">
        <is>
          <t>CNC</t>
        </is>
      </c>
      <c r="E7" s="30" t="inlineStr">
        <is>
          <t>อาคาร C</t>
        </is>
      </c>
      <c r="F7" s="30" t="inlineStr">
        <is>
          <t>Machining</t>
        </is>
      </c>
      <c r="G7" s="30" t="inlineStr">
        <is>
          <t>PrecisionWorks</t>
        </is>
      </c>
      <c r="H7" s="30" t="inlineStr">
        <is>
          <t>CNC-850</t>
        </is>
      </c>
      <c r="I7" s="30" t="inlineStr">
        <is>
          <t>SN-N001</t>
        </is>
      </c>
      <c r="J7" s="31" t="n">
        <v>45337</v>
      </c>
      <c r="K7" s="30" t="inlineStr">
        <is>
          <t>High</t>
        </is>
      </c>
      <c r="L7" s="30" t="inlineStr">
        <is>
          <t>Running</t>
        </is>
      </c>
      <c r="M7" s="30" t="n">
        <v>16</v>
      </c>
      <c r="N7" s="31" t="n">
        <v>46295</v>
      </c>
      <c r="O7" s="31" t="n">
        <v>46356</v>
      </c>
      <c r="P7" s="30" t="inlineStr">
        <is>
          <t>Machining</t>
        </is>
      </c>
      <c r="Q7" s="30" t="inlineStr"/>
      <c r="R7" s="30" t="inlineStr">
        <is>
          <t>CNC-01</t>
        </is>
      </c>
      <c r="S7" s="30" t="b">
        <v>1</v>
      </c>
      <c r="T7" s="30" t="inlineStr"/>
    </row>
  </sheetData>
  <autoFilter ref="A1:T7"/>
  <dataValidations count="3">
    <dataValidation sqref="K2:K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=CriticalityList</formula1>
    </dataValidation>
    <dataValidation sqref="L2:L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=MachineStatusList</formula1>
    </dataValidation>
    <dataValidation sqref="S2:S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=BooleanList</formula1>
    </dataValidation>
  </dataValidations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6EFAC"/>
    <outlinePr summaryBelow="1" summaryRight="1"/>
    <pageSetUpPr fitToPage="1"/>
  </sheetPr>
  <dimension ref="A1:J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8" customWidth="1" min="4" max="4"/>
    <col width="17" customWidth="1" min="5" max="5"/>
    <col width="16" customWidth="1" min="6" max="6"/>
    <col width="28" customWidth="1" min="7" max="7"/>
    <col width="14" customWidth="1" min="8" max="8"/>
    <col width="14" customWidth="1" min="9" max="9"/>
    <col width="10" customWidth="1" min="10" max="10"/>
  </cols>
  <sheetData>
    <row r="1" ht="32" customHeight="1">
      <c r="A1" s="29" t="inlineStr">
        <is>
          <t>TechnicianID</t>
        </is>
      </c>
      <c r="B1" s="29" t="inlineStr">
        <is>
          <t>EmployeeCode</t>
        </is>
      </c>
      <c r="C1" s="29" t="inlineStr">
        <is>
          <t>FullNameTH</t>
        </is>
      </c>
      <c r="D1" s="29" t="inlineStr">
        <is>
          <t>Team</t>
        </is>
      </c>
      <c r="E1" s="29" t="inlineStr">
        <is>
          <t>SkillGroup</t>
        </is>
      </c>
      <c r="F1" s="29" t="inlineStr">
        <is>
          <t>Phone</t>
        </is>
      </c>
      <c r="G1" s="29" t="inlineStr">
        <is>
          <t>Email</t>
        </is>
      </c>
      <c r="H1" s="29" t="inlineStr">
        <is>
          <t>AppRole</t>
        </is>
      </c>
      <c r="I1" s="29" t="inlineStr">
        <is>
          <t>HourlyRate</t>
        </is>
      </c>
      <c r="J1" s="29" t="inlineStr">
        <is>
          <t>Active</t>
        </is>
      </c>
    </row>
    <row r="2">
      <c r="A2" s="30" t="inlineStr">
        <is>
          <t>TECH-001</t>
        </is>
      </c>
      <c r="B2" s="30" t="inlineStr">
        <is>
          <t>E1001</t>
        </is>
      </c>
      <c r="C2" s="30" t="inlineStr">
        <is>
          <t>สมชาย ช่างกล</t>
        </is>
      </c>
      <c r="D2" s="30" t="inlineStr">
        <is>
          <t>Maintenance A</t>
        </is>
      </c>
      <c r="E2" s="30" t="inlineStr">
        <is>
          <t>Mechanical</t>
        </is>
      </c>
      <c r="F2" s="30" t="inlineStr">
        <is>
          <t>0810001001</t>
        </is>
      </c>
      <c r="G2" s="30" t="inlineStr">
        <is>
          <t>somchai@example.com</t>
        </is>
      </c>
      <c r="H2" s="30" t="inlineStr">
        <is>
          <t>Technician</t>
        </is>
      </c>
      <c r="I2" s="32" t="n">
        <v>350</v>
      </c>
      <c r="J2" s="30" t="b">
        <v>1</v>
      </c>
    </row>
    <row r="3">
      <c r="A3" s="30" t="inlineStr">
        <is>
          <t>TECH-002</t>
        </is>
      </c>
      <c r="B3" s="30" t="inlineStr">
        <is>
          <t>E1002</t>
        </is>
      </c>
      <c r="C3" s="30" t="inlineStr">
        <is>
          <t>สมหญิง ไฟฟ้า</t>
        </is>
      </c>
      <c r="D3" s="30" t="inlineStr">
        <is>
          <t>Maintenance A</t>
        </is>
      </c>
      <c r="E3" s="30" t="inlineStr">
        <is>
          <t>Electrical</t>
        </is>
      </c>
      <c r="F3" s="30" t="inlineStr">
        <is>
          <t>0810001002</t>
        </is>
      </c>
      <c r="G3" s="30" t="inlineStr">
        <is>
          <t>somying@example.com</t>
        </is>
      </c>
      <c r="H3" s="30" t="inlineStr">
        <is>
          <t>Technician</t>
        </is>
      </c>
      <c r="I3" s="32" t="n">
        <v>380</v>
      </c>
      <c r="J3" s="30" t="b">
        <v>1</v>
      </c>
    </row>
    <row r="4">
      <c r="A4" s="30" t="inlineStr">
        <is>
          <t>TECH-003</t>
        </is>
      </c>
      <c r="B4" s="30" t="inlineStr">
        <is>
          <t>E1003</t>
        </is>
      </c>
      <c r="C4" s="30" t="inlineStr">
        <is>
          <t>วิชัย ระบบลม</t>
        </is>
      </c>
      <c r="D4" s="30" t="inlineStr">
        <is>
          <t>Utility</t>
        </is>
      </c>
      <c r="E4" s="30" t="inlineStr">
        <is>
          <t>Pneumatic</t>
        </is>
      </c>
      <c r="F4" s="30" t="inlineStr">
        <is>
          <t>0810001003</t>
        </is>
      </c>
      <c r="G4" s="30" t="inlineStr">
        <is>
          <t>wichai@example.com</t>
        </is>
      </c>
      <c r="H4" s="30" t="inlineStr">
        <is>
          <t>Technician</t>
        </is>
      </c>
      <c r="I4" s="32" t="n">
        <v>360</v>
      </c>
      <c r="J4" s="30" t="b">
        <v>1</v>
      </c>
    </row>
    <row r="5">
      <c r="A5" s="30" t="inlineStr">
        <is>
          <t>TECH-004</t>
        </is>
      </c>
      <c r="B5" s="30" t="inlineStr">
        <is>
          <t>E1004</t>
        </is>
      </c>
      <c r="C5" s="30" t="inlineStr">
        <is>
          <t>อารีย์ อัตโนมัติ</t>
        </is>
      </c>
      <c r="D5" s="30" t="inlineStr">
        <is>
          <t>Maintenance B</t>
        </is>
      </c>
      <c r="E5" s="30" t="inlineStr">
        <is>
          <t>Automation</t>
        </is>
      </c>
      <c r="F5" s="30" t="inlineStr">
        <is>
          <t>0810001004</t>
        </is>
      </c>
      <c r="G5" s="30" t="inlineStr">
        <is>
          <t>aree@example.com</t>
        </is>
      </c>
      <c r="H5" s="30" t="inlineStr">
        <is>
          <t>Technician</t>
        </is>
      </c>
      <c r="I5" s="32" t="n">
        <v>420</v>
      </c>
      <c r="J5" s="30" t="b">
        <v>1</v>
      </c>
    </row>
    <row r="6">
      <c r="A6" s="30" t="inlineStr">
        <is>
          <t>TECH-005</t>
        </is>
      </c>
      <c r="B6" s="30" t="inlineStr">
        <is>
          <t>E1005</t>
        </is>
      </c>
      <c r="C6" s="30" t="inlineStr">
        <is>
          <t>กิตติ หัวหน้าซ่อม</t>
        </is>
      </c>
      <c r="D6" s="30" t="inlineStr">
        <is>
          <t>Maintenance</t>
        </is>
      </c>
      <c r="E6" s="30" t="inlineStr">
        <is>
          <t>Management</t>
        </is>
      </c>
      <c r="F6" s="30" t="inlineStr">
        <is>
          <t>0810001005</t>
        </is>
      </c>
      <c r="G6" s="30" t="inlineStr">
        <is>
          <t>kitti@example.com</t>
        </is>
      </c>
      <c r="H6" s="30" t="inlineStr">
        <is>
          <t>Manager</t>
        </is>
      </c>
      <c r="I6" s="32" t="n">
        <v>500</v>
      </c>
      <c r="J6" s="30" t="b">
        <v>1</v>
      </c>
    </row>
  </sheetData>
  <autoFilter ref="A1:J6"/>
  <dataValidations count="3">
    <dataValidation sqref="E2:E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=SkillGroupList</formula1>
    </dataValidation>
    <dataValidation sqref="H2:H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=AppRoleList</formula1>
    </dataValidation>
    <dataValidation sqref="J2:J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=BooleanList</formula1>
    </dataValidation>
  </dataValidations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C4B5FD"/>
    <outlinePr summaryBelow="1" summaryRight="1"/>
    <pageSetUpPr fitToPage="1"/>
  </sheetPr>
  <dimension ref="A1:AH1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28" customWidth="1" min="4" max="4"/>
    <col width="14" customWidth="1" min="5" max="5"/>
    <col width="17" customWidth="1" min="6" max="6"/>
    <col width="42" customWidth="1" min="7" max="7"/>
    <col width="12" customWidth="1" min="8" max="8"/>
    <col width="16" customWidth="1" min="9" max="9"/>
    <col width="18" customWidth="1" min="10" max="10"/>
    <col width="18" customWidth="1" min="11" max="11"/>
    <col width="19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1" customWidth="1" min="19" max="19"/>
    <col width="20" customWidth="1" min="20" max="20"/>
    <col width="15" customWidth="1" min="21" max="21"/>
    <col width="18" customWidth="1" min="22" max="22"/>
    <col width="34" customWidth="1" min="23" max="23"/>
    <col width="38" customWidth="1" min="24" max="24"/>
    <col width="18" customWidth="1" min="25" max="25"/>
    <col width="13" customWidth="1" min="26" max="26"/>
    <col width="14" customWidth="1" min="27" max="27"/>
    <col width="14" customWidth="1" min="28" max="28"/>
    <col width="14" customWidth="1" min="29" max="29"/>
    <col width="20" customWidth="1" min="30" max="30"/>
    <col width="10" customWidth="1" min="31" max="31"/>
    <col width="13" customWidth="1" min="32" max="32"/>
    <col width="20" customWidth="1" min="33" max="33"/>
    <col width="30" customWidth="1" min="34" max="34"/>
  </cols>
  <sheetData>
    <row r="1" ht="32" customHeight="1">
      <c r="A1" s="29" t="inlineStr">
        <is>
          <t>WorkOrderID</t>
        </is>
      </c>
      <c r="B1" s="29" t="inlineStr">
        <is>
          <t>RequestDateTime</t>
        </is>
      </c>
      <c r="C1" s="29" t="inlineStr">
        <is>
          <t>RequesterName</t>
        </is>
      </c>
      <c r="D1" s="29" t="inlineStr">
        <is>
          <t>RequesterEmail</t>
        </is>
      </c>
      <c r="E1" s="29" t="inlineStr">
        <is>
          <t>MachineID</t>
        </is>
      </c>
      <c r="F1" s="29" t="inlineStr">
        <is>
          <t>ProblemCategory</t>
        </is>
      </c>
      <c r="G1" s="29" t="inlineStr">
        <is>
          <t>ProblemDescription</t>
        </is>
      </c>
      <c r="H1" s="29" t="inlineStr">
        <is>
          <t>Priority</t>
        </is>
      </c>
      <c r="I1" s="29" t="inlineStr">
        <is>
          <t>MachineStopped</t>
        </is>
      </c>
      <c r="J1" s="29" t="inlineStr">
        <is>
          <t>PhotoBefore</t>
        </is>
      </c>
      <c r="K1" s="29" t="inlineStr">
        <is>
          <t>WorkOrderStatus</t>
        </is>
      </c>
      <c r="L1" s="29" t="inlineStr">
        <is>
          <t>PrimaryTechnicianID</t>
        </is>
      </c>
      <c r="M1" s="29" t="inlineStr">
        <is>
          <t>AssignedAt</t>
        </is>
      </c>
      <c r="N1" s="29" t="inlineStr">
        <is>
          <t>AcceptedAt</t>
        </is>
      </c>
      <c r="O1" s="29" t="inlineStr">
        <is>
          <t>StartedAt</t>
        </is>
      </c>
      <c r="P1" s="29" t="inlineStr">
        <is>
          <t>CompletedAt</t>
        </is>
      </c>
      <c r="Q1" s="29" t="inlineStr">
        <is>
          <t>VerifiedAt</t>
        </is>
      </c>
      <c r="R1" s="29" t="inlineStr">
        <is>
          <t>ClosedAt</t>
        </is>
      </c>
      <c r="S1" s="29" t="inlineStr">
        <is>
          <t>SLAHours</t>
        </is>
      </c>
      <c r="T1" s="29" t="inlineStr">
        <is>
          <t>DueAt</t>
        </is>
      </c>
      <c r="U1" s="29" t="inlineStr">
        <is>
          <t>SLAStatus</t>
        </is>
      </c>
      <c r="V1" s="29" t="inlineStr">
        <is>
          <t>DowntimeMinutes</t>
        </is>
      </c>
      <c r="W1" s="29" t="inlineStr">
        <is>
          <t>RootCause</t>
        </is>
      </c>
      <c r="X1" s="29" t="inlineStr">
        <is>
          <t>RepairAction</t>
        </is>
      </c>
      <c r="Y1" s="29" t="inlineStr">
        <is>
          <t>PhotoAfter</t>
        </is>
      </c>
      <c r="Z1" s="29" t="inlineStr">
        <is>
          <t>LaborHours</t>
        </is>
      </c>
      <c r="AA1" s="29" t="inlineStr">
        <is>
          <t>LaborCost</t>
        </is>
      </c>
      <c r="AB1" s="29" t="inlineStr">
        <is>
          <t>PartsCost</t>
        </is>
      </c>
      <c r="AC1" s="29" t="inlineStr">
        <is>
          <t>TotalCost</t>
        </is>
      </c>
      <c r="AD1" s="29" t="inlineStr">
        <is>
          <t>RequesterConfirmed</t>
        </is>
      </c>
      <c r="AE1" s="29" t="inlineStr">
        <is>
          <t>Rating</t>
        </is>
      </c>
      <c r="AF1" s="29" t="inlineStr">
        <is>
          <t>SafetyIssue</t>
        </is>
      </c>
      <c r="AG1" s="29" t="inlineStr">
        <is>
          <t>LastUpdated</t>
        </is>
      </c>
      <c r="AH1" s="29" t="inlineStr">
        <is>
          <t>Notes</t>
        </is>
      </c>
    </row>
    <row r="2">
      <c r="A2" s="30" t="inlineStr">
        <is>
          <t>WO-2026-0001</t>
        </is>
      </c>
      <c r="B2" s="33" t="n">
        <v>46152.33333333334</v>
      </c>
      <c r="C2" s="30" t="inlineStr">
        <is>
          <t>อนันต์ ฝ่ายผลิต</t>
        </is>
      </c>
      <c r="D2" s="30" t="inlineStr">
        <is>
          <t>anant@example.com</t>
        </is>
      </c>
      <c r="E2" s="30" t="inlineStr">
        <is>
          <t>MCH-001</t>
        </is>
      </c>
      <c r="F2" s="30" t="inlineStr">
        <is>
          <t>Mechanical</t>
        </is>
      </c>
      <c r="G2" s="30" t="inlineStr">
        <is>
          <t>เสียงดังที่ชุดเพลาและแรงดันตก</t>
        </is>
      </c>
      <c r="H2" s="30" t="inlineStr">
        <is>
          <t>Critical</t>
        </is>
      </c>
      <c r="I2" s="30" t="b">
        <v>1</v>
      </c>
      <c r="J2" s="30" t="inlineStr"/>
      <c r="K2" s="30" t="inlineStr">
        <is>
          <t>Closed</t>
        </is>
      </c>
      <c r="L2" s="30" t="inlineStr">
        <is>
          <t>TECH-001</t>
        </is>
      </c>
      <c r="M2" s="33" t="n">
        <v>46152.33680555555</v>
      </c>
      <c r="N2" s="33" t="n">
        <v>46152.34375</v>
      </c>
      <c r="O2" s="33" t="n">
        <v>46152.35416666666</v>
      </c>
      <c r="P2" s="33" t="n">
        <v>46152.47916666666</v>
      </c>
      <c r="Q2" s="33" t="n">
        <v>46152.51041666666</v>
      </c>
      <c r="R2" s="33" t="n">
        <v>46152.52083333334</v>
      </c>
      <c r="S2" s="30" t="n">
        <v>4</v>
      </c>
      <c r="T2" s="33" t="n">
        <v>46152.5</v>
      </c>
      <c r="U2" s="30" t="inlineStr">
        <is>
          <t>On Time</t>
        </is>
      </c>
      <c r="V2" s="30" t="n">
        <v>210</v>
      </c>
      <c r="W2" s="30" t="inlineStr">
        <is>
          <t>ลูกปืนเพลาสึกจากการหล่อลื่นไม่เพียงพอ</t>
        </is>
      </c>
      <c r="X2" s="30" t="inlineStr">
        <is>
          <t>เปลี่ยนลูกปืน ตั้งศูนย์เพลา และเติมจาระบี</t>
        </is>
      </c>
      <c r="Y2" s="30" t="inlineStr"/>
      <c r="Z2" s="32" t="n">
        <v>3</v>
      </c>
      <c r="AA2" s="32" t="n">
        <v>1050</v>
      </c>
      <c r="AB2" s="32" t="n">
        <v>640</v>
      </c>
      <c r="AC2" s="32" t="n">
        <v>1690</v>
      </c>
      <c r="AD2" s="30" t="b">
        <v>1</v>
      </c>
      <c r="AE2" s="30" t="n">
        <v>5</v>
      </c>
      <c r="AF2" s="30" t="b">
        <v>0</v>
      </c>
      <c r="AG2" s="33" t="n">
        <v>46152.52083333334</v>
      </c>
      <c r="AH2" s="30" t="inlineStr">
        <is>
          <t>ข้อมูลตัวอย่าง</t>
        </is>
      </c>
    </row>
    <row r="3">
      <c r="A3" s="30" t="inlineStr">
        <is>
          <t>WO-2026-0002</t>
        </is>
      </c>
      <c r="B3" s="33" t="n">
        <v>46160.58333333334</v>
      </c>
      <c r="C3" s="30" t="inlineStr">
        <is>
          <t>กมล ฝ่ายบรรจุ</t>
        </is>
      </c>
      <c r="D3" s="30" t="inlineStr">
        <is>
          <t>kamon@example.com</t>
        </is>
      </c>
      <c r="E3" s="30" t="inlineStr">
        <is>
          <t>MCH-002</t>
        </is>
      </c>
      <c r="F3" s="30" t="inlineStr">
        <is>
          <t>Mechanical</t>
        </is>
      </c>
      <c r="G3" s="30" t="inlineStr">
        <is>
          <t>สายพานวิ่งเบี้ยวและสะบัด</t>
        </is>
      </c>
      <c r="H3" s="30" t="inlineStr">
        <is>
          <t>High</t>
        </is>
      </c>
      <c r="I3" s="30" t="b">
        <v>1</v>
      </c>
      <c r="J3" s="30" t="inlineStr"/>
      <c r="K3" s="30" t="inlineStr">
        <is>
          <t>Closed</t>
        </is>
      </c>
      <c r="L3" s="30" t="inlineStr">
        <is>
          <t>TECH-001</t>
        </is>
      </c>
      <c r="M3" s="33" t="n">
        <v>46160.58680555555</v>
      </c>
      <c r="N3" s="33" t="n">
        <v>46160.59375</v>
      </c>
      <c r="O3" s="33" t="n">
        <v>46160.60416666666</v>
      </c>
      <c r="P3" s="33" t="n">
        <v>46160.66666666666</v>
      </c>
      <c r="Q3" s="33" t="n">
        <v>46160.69791666666</v>
      </c>
      <c r="R3" s="33" t="n">
        <v>46160.70833333334</v>
      </c>
      <c r="S3" s="30" t="n">
        <v>8</v>
      </c>
      <c r="T3" s="33" t="n">
        <v>46160.91666666666</v>
      </c>
      <c r="U3" s="30" t="inlineStr">
        <is>
          <t>On Time</t>
        </is>
      </c>
      <c r="V3" s="30" t="n">
        <v>120</v>
      </c>
      <c r="W3" s="30" t="inlineStr">
        <is>
          <t>ลูกกลิ้งนำสายพานคลายตัว</t>
        </is>
      </c>
      <c r="X3" s="30" t="inlineStr">
        <is>
          <t>ตั้งแนวลูกกลิ้งและปรับความตึงสายพาน</t>
        </is>
      </c>
      <c r="Y3" s="30" t="inlineStr"/>
      <c r="Z3" s="32" t="n">
        <v>1.5</v>
      </c>
      <c r="AA3" s="32" t="n">
        <v>525</v>
      </c>
      <c r="AB3" s="32" t="n">
        <v>380</v>
      </c>
      <c r="AC3" s="32" t="n">
        <v>905</v>
      </c>
      <c r="AD3" s="30" t="b">
        <v>1</v>
      </c>
      <c r="AE3" s="30" t="n">
        <v>4</v>
      </c>
      <c r="AF3" s="30" t="b">
        <v>0</v>
      </c>
      <c r="AG3" s="33" t="n">
        <v>46160.70833333334</v>
      </c>
      <c r="AH3" s="30" t="inlineStr">
        <is>
          <t>ข้อมูลตัวอย่าง</t>
        </is>
      </c>
    </row>
    <row r="4">
      <c r="A4" s="30" t="inlineStr">
        <is>
          <t>WO-2026-0003</t>
        </is>
      </c>
      <c r="B4" s="33" t="n">
        <v>46175.3125</v>
      </c>
      <c r="C4" s="30" t="inlineStr">
        <is>
          <t>สุรีย์ ฝ่ายวิศวกรรม</t>
        </is>
      </c>
      <c r="D4" s="30" t="inlineStr">
        <is>
          <t>suree@example.com</t>
        </is>
      </c>
      <c r="E4" s="30" t="inlineStr">
        <is>
          <t>MCH-003</t>
        </is>
      </c>
      <c r="F4" s="30" t="inlineStr">
        <is>
          <t>Pneumatic</t>
        </is>
      </c>
      <c r="G4" s="30" t="inlineStr">
        <is>
          <t>แรงดันลมตกและคอมเพรสเซอร์ทำงานต่อเนื่อง</t>
        </is>
      </c>
      <c r="H4" s="30" t="inlineStr">
        <is>
          <t>Critical</t>
        </is>
      </c>
      <c r="I4" s="30" t="b">
        <v>1</v>
      </c>
      <c r="J4" s="30" t="inlineStr"/>
      <c r="K4" s="30" t="inlineStr">
        <is>
          <t>Closed</t>
        </is>
      </c>
      <c r="L4" s="30" t="inlineStr">
        <is>
          <t>TECH-003</t>
        </is>
      </c>
      <c r="M4" s="33" t="n">
        <v>46175.31597222222</v>
      </c>
      <c r="N4" s="33" t="n">
        <v>46175.32291666666</v>
      </c>
      <c r="O4" s="33" t="n">
        <v>46175.33333333334</v>
      </c>
      <c r="P4" s="33" t="n">
        <v>46175.5</v>
      </c>
      <c r="Q4" s="33" t="n">
        <v>46175.53125</v>
      </c>
      <c r="R4" s="33" t="n">
        <v>46175.54166666666</v>
      </c>
      <c r="S4" s="30" t="n">
        <v>4</v>
      </c>
      <c r="T4" s="33" t="n">
        <v>46175.47916666666</v>
      </c>
      <c r="U4" s="30" t="inlineStr">
        <is>
          <t>Late</t>
        </is>
      </c>
      <c r="V4" s="30" t="n">
        <v>300</v>
      </c>
      <c r="W4" s="30" t="inlineStr">
        <is>
          <t>โซลินอยด์วาล์วรั่วภายใน</t>
        </is>
      </c>
      <c r="X4" s="30" t="inlineStr">
        <is>
          <t>เปลี่ยนวาล์วและทดสอบการรั่ว</t>
        </is>
      </c>
      <c r="Y4" s="30" t="inlineStr"/>
      <c r="Z4" s="32" t="n">
        <v>4</v>
      </c>
      <c r="AA4" s="32" t="n">
        <v>1440</v>
      </c>
      <c r="AB4" s="32" t="n">
        <v>1250</v>
      </c>
      <c r="AC4" s="32" t="n">
        <v>2690</v>
      </c>
      <c r="AD4" s="30" t="b">
        <v>1</v>
      </c>
      <c r="AE4" s="30" t="n">
        <v>5</v>
      </c>
      <c r="AF4" s="30" t="b">
        <v>0</v>
      </c>
      <c r="AG4" s="33" t="n">
        <v>46175.54166666666</v>
      </c>
      <c r="AH4" s="30" t="inlineStr">
        <is>
          <t>ข้อมูลตัวอย่าง</t>
        </is>
      </c>
    </row>
    <row r="5">
      <c r="A5" s="30" t="inlineStr">
        <is>
          <t>WO-2026-0004</t>
        </is>
      </c>
      <c r="B5" s="33" t="n">
        <v>46193.41666666666</v>
      </c>
      <c r="C5" s="30" t="inlineStr">
        <is>
          <t>อนันต์ ฝ่ายผลิต</t>
        </is>
      </c>
      <c r="D5" s="30" t="inlineStr">
        <is>
          <t>anant@example.com</t>
        </is>
      </c>
      <c r="E5" s="30" t="inlineStr">
        <is>
          <t>MCH-004</t>
        </is>
      </c>
      <c r="F5" s="30" t="inlineStr">
        <is>
          <t>Electrical</t>
        </is>
      </c>
      <c r="G5" s="30" t="inlineStr">
        <is>
          <t>ฮีตเตอร์ไม่ร้อน อุณหภูมิไม่ขึ้น</t>
        </is>
      </c>
      <c r="H5" s="30" t="inlineStr">
        <is>
          <t>High</t>
        </is>
      </c>
      <c r="I5" s="30" t="b">
        <v>1</v>
      </c>
      <c r="J5" s="30" t="inlineStr"/>
      <c r="K5" s="30" t="inlineStr">
        <is>
          <t>Closed</t>
        </is>
      </c>
      <c r="L5" s="30" t="inlineStr">
        <is>
          <t>TECH-002</t>
        </is>
      </c>
      <c r="M5" s="33" t="n">
        <v>46193.42013888889</v>
      </c>
      <c r="N5" s="33" t="n">
        <v>46193.42708333334</v>
      </c>
      <c r="O5" s="33" t="n">
        <v>46193.4375</v>
      </c>
      <c r="P5" s="33" t="n">
        <v>46193.52083333334</v>
      </c>
      <c r="Q5" s="33" t="n">
        <v>46193.55208333334</v>
      </c>
      <c r="R5" s="33" t="n">
        <v>46193.5625</v>
      </c>
      <c r="S5" s="30" t="n">
        <v>8</v>
      </c>
      <c r="T5" s="33" t="n">
        <v>46193.75</v>
      </c>
      <c r="U5" s="30" t="inlineStr">
        <is>
          <t>On Time</t>
        </is>
      </c>
      <c r="V5" s="30" t="n">
        <v>150</v>
      </c>
      <c r="W5" s="30" t="inlineStr">
        <is>
          <t>ฟิวส์ฮีตเตอร์ขาดจากขั้วต่อหลวม</t>
        </is>
      </c>
      <c r="X5" s="30" t="inlineStr">
        <is>
          <t>เปลี่ยนฟิวส์และขันขั้วต่อ</t>
        </is>
      </c>
      <c r="Y5" s="30" t="inlineStr"/>
      <c r="Z5" s="32" t="n">
        <v>2</v>
      </c>
      <c r="AA5" s="32" t="n">
        <v>760</v>
      </c>
      <c r="AB5" s="32" t="n">
        <v>70</v>
      </c>
      <c r="AC5" s="32" t="n">
        <v>830</v>
      </c>
      <c r="AD5" s="30" t="b">
        <v>1</v>
      </c>
      <c r="AE5" s="30" t="n">
        <v>4</v>
      </c>
      <c r="AF5" s="30" t="b">
        <v>0</v>
      </c>
      <c r="AG5" s="33" t="n">
        <v>46193.5625</v>
      </c>
      <c r="AH5" s="30" t="inlineStr">
        <is>
          <t>ข้อมูลตัวอย่าง</t>
        </is>
      </c>
    </row>
    <row r="6">
      <c r="A6" s="30" t="inlineStr">
        <is>
          <t>WO-2026-0005</t>
        </is>
      </c>
      <c r="B6" s="33" t="n">
        <v>46204.375</v>
      </c>
      <c r="C6" s="30" t="inlineStr">
        <is>
          <t>กมล ฝ่ายบรรจุ</t>
        </is>
      </c>
      <c r="D6" s="30" t="inlineStr">
        <is>
          <t>kamon@example.com</t>
        </is>
      </c>
      <c r="E6" s="30" t="inlineStr">
        <is>
          <t>MCH-001</t>
        </is>
      </c>
      <c r="F6" s="30" t="inlineStr">
        <is>
          <t>Hydraulic</t>
        </is>
      </c>
      <c r="G6" s="30" t="inlineStr">
        <is>
          <t>น้ำมันไฮดรอลิกรั่วบริเวณวาล์ว</t>
        </is>
      </c>
      <c r="H6" s="30" t="inlineStr">
        <is>
          <t>High</t>
        </is>
      </c>
      <c r="I6" s="30" t="b">
        <v>1</v>
      </c>
      <c r="J6" s="30" t="inlineStr"/>
      <c r="K6" s="30" t="inlineStr">
        <is>
          <t>Closed</t>
        </is>
      </c>
      <c r="L6" s="30" t="inlineStr">
        <is>
          <t>TECH-002</t>
        </is>
      </c>
      <c r="M6" s="33" t="n">
        <v>46204.37847222222</v>
      </c>
      <c r="N6" s="33" t="n">
        <v>46204.38541666666</v>
      </c>
      <c r="O6" s="33" t="n">
        <v>46204.39583333334</v>
      </c>
      <c r="P6" s="33" t="n">
        <v>46204.5</v>
      </c>
      <c r="Q6" s="33" t="n">
        <v>46204.53125</v>
      </c>
      <c r="R6" s="33" t="n">
        <v>46204.54166666666</v>
      </c>
      <c r="S6" s="30" t="n">
        <v>8</v>
      </c>
      <c r="T6" s="33" t="n">
        <v>46204.70833333334</v>
      </c>
      <c r="U6" s="30" t="inlineStr">
        <is>
          <t>On Time</t>
        </is>
      </c>
      <c r="V6" s="30" t="n">
        <v>180</v>
      </c>
      <c r="W6" s="30" t="inlineStr">
        <is>
          <t>โอริงวาล์วเสื่อมจากความร้อน</t>
        </is>
      </c>
      <c r="X6" s="30" t="inlineStr">
        <is>
          <t>เปลี่ยนซีล ทำความสะอาด และเติมน้ำมัน</t>
        </is>
      </c>
      <c r="Y6" s="30" t="inlineStr"/>
      <c r="Z6" s="32" t="n">
        <v>2.5</v>
      </c>
      <c r="AA6" s="32" t="n">
        <v>950</v>
      </c>
      <c r="AB6" s="32" t="n">
        <v>475</v>
      </c>
      <c r="AC6" s="32" t="n">
        <v>1425</v>
      </c>
      <c r="AD6" s="30" t="b">
        <v>1</v>
      </c>
      <c r="AE6" s="30" t="n">
        <v>4</v>
      </c>
      <c r="AF6" s="30" t="b">
        <v>0</v>
      </c>
      <c r="AG6" s="33" t="n">
        <v>46204.54166666666</v>
      </c>
      <c r="AH6" s="30" t="inlineStr">
        <is>
          <t>ข้อมูลตัวอย่าง</t>
        </is>
      </c>
    </row>
    <row r="7">
      <c r="A7" s="30" t="inlineStr">
        <is>
          <t>WO-2026-0006</t>
        </is>
      </c>
      <c r="B7" s="33" t="n">
        <v>46218.54166666666</v>
      </c>
      <c r="C7" s="30" t="inlineStr">
        <is>
          <t>สุรีย์ ฝ่ายวิศวกรรม</t>
        </is>
      </c>
      <c r="D7" s="30" t="inlineStr">
        <is>
          <t>suree@example.com</t>
        </is>
      </c>
      <c r="E7" s="30" t="inlineStr">
        <is>
          <t>MCH-005</t>
        </is>
      </c>
      <c r="F7" s="30" t="inlineStr">
        <is>
          <t>Mechanical</t>
        </is>
      </c>
      <c r="G7" s="30" t="inlineStr">
        <is>
          <t>ปั๊มสั่นและมีเสียงผิดปกติ</t>
        </is>
      </c>
      <c r="H7" s="30" t="inlineStr">
        <is>
          <t>High</t>
        </is>
      </c>
      <c r="I7" s="30" t="b">
        <v>1</v>
      </c>
      <c r="J7" s="30" t="inlineStr"/>
      <c r="K7" s="30" t="inlineStr">
        <is>
          <t>Closed</t>
        </is>
      </c>
      <c r="L7" s="30" t="inlineStr">
        <is>
          <t>TECH-001</t>
        </is>
      </c>
      <c r="M7" s="33" t="n">
        <v>46218.54513888889</v>
      </c>
      <c r="N7" s="33" t="n">
        <v>46218.55208333334</v>
      </c>
      <c r="O7" s="33" t="n">
        <v>46218.5625</v>
      </c>
      <c r="P7" s="33" t="n">
        <v>46218.70833333334</v>
      </c>
      <c r="Q7" s="33" t="n">
        <v>46218.73958333334</v>
      </c>
      <c r="R7" s="33" t="n">
        <v>46218.75</v>
      </c>
      <c r="S7" s="30" t="n">
        <v>8</v>
      </c>
      <c r="T7" s="33" t="n">
        <v>46218.875</v>
      </c>
      <c r="U7" s="30" t="inlineStr">
        <is>
          <t>On Time</t>
        </is>
      </c>
      <c r="V7" s="30" t="n">
        <v>240</v>
      </c>
      <c r="W7" s="30" t="inlineStr">
        <is>
          <t>Mechanical seal เสื่อมและเพลาเยื้องศูนย์</t>
        </is>
      </c>
      <c r="X7" s="30" t="inlineStr">
        <is>
          <t>เปลี่ยนซีลและตั้งศูนย์เพลา</t>
        </is>
      </c>
      <c r="Y7" s="30" t="inlineStr"/>
      <c r="Z7" s="32" t="n">
        <v>3.5</v>
      </c>
      <c r="AA7" s="32" t="n">
        <v>1225</v>
      </c>
      <c r="AB7" s="32" t="n">
        <v>2250</v>
      </c>
      <c r="AC7" s="32" t="n">
        <v>3475</v>
      </c>
      <c r="AD7" s="30" t="b">
        <v>1</v>
      </c>
      <c r="AE7" s="30" t="n">
        <v>5</v>
      </c>
      <c r="AF7" s="30" t="b">
        <v>0</v>
      </c>
      <c r="AG7" s="33" t="n">
        <v>46218.75</v>
      </c>
      <c r="AH7" s="30" t="inlineStr">
        <is>
          <t>ข้อมูลตัวอย่าง</t>
        </is>
      </c>
    </row>
    <row r="8">
      <c r="A8" s="30" t="inlineStr">
        <is>
          <t>WO-2026-0007</t>
        </is>
      </c>
      <c r="B8" s="33" t="n">
        <v>46237.35416666666</v>
      </c>
      <c r="C8" s="30" t="inlineStr">
        <is>
          <t>อนันต์ ฝ่ายผลิต</t>
        </is>
      </c>
      <c r="D8" s="30" t="inlineStr">
        <is>
          <t>anant@example.com</t>
        </is>
      </c>
      <c r="E8" s="30" t="inlineStr">
        <is>
          <t>MCH-002</t>
        </is>
      </c>
      <c r="F8" s="30" t="inlineStr">
        <is>
          <t>Automation</t>
        </is>
      </c>
      <c r="G8" s="30" t="inlineStr">
        <is>
          <t>เซนเซอร์ตรวจชิ้นงานทำงานไม่สม่ำเสมอ</t>
        </is>
      </c>
      <c r="H8" s="30" t="inlineStr">
        <is>
          <t>Medium</t>
        </is>
      </c>
      <c r="I8" s="30" t="b">
        <v>0</v>
      </c>
      <c r="J8" s="30" t="inlineStr"/>
      <c r="K8" s="30" t="inlineStr">
        <is>
          <t>Closed</t>
        </is>
      </c>
      <c r="L8" s="30" t="inlineStr">
        <is>
          <t>TECH-004</t>
        </is>
      </c>
      <c r="M8" s="33" t="n">
        <v>46237.35763888889</v>
      </c>
      <c r="N8" s="33" t="n">
        <v>46237.36458333334</v>
      </c>
      <c r="O8" s="33" t="n">
        <v>46237.375</v>
      </c>
      <c r="P8" s="33" t="n">
        <v>46237.42708333334</v>
      </c>
      <c r="Q8" s="33" t="n">
        <v>46237.45833333334</v>
      </c>
      <c r="R8" s="33" t="n">
        <v>46237.46875</v>
      </c>
      <c r="S8" s="30" t="n">
        <v>24</v>
      </c>
      <c r="T8" s="33" t="n">
        <v>46238.35416666666</v>
      </c>
      <c r="U8" s="30" t="inlineStr">
        <is>
          <t>On Time</t>
        </is>
      </c>
      <c r="V8" s="30" t="n">
        <v>0</v>
      </c>
      <c r="W8" s="30" t="inlineStr">
        <is>
          <t>หน้าสัมผัสเซนเซอร์สกปรกและระยะคลาดเคลื่อน</t>
        </is>
      </c>
      <c r="X8" s="30" t="inlineStr">
        <is>
          <t>เปลี่ยนเซนเซอร์และตั้งระยะ</t>
        </is>
      </c>
      <c r="Y8" s="30" t="inlineStr"/>
      <c r="Z8" s="32" t="n">
        <v>1.25</v>
      </c>
      <c r="AA8" s="32" t="n">
        <v>525</v>
      </c>
      <c r="AB8" s="32" t="n">
        <v>890</v>
      </c>
      <c r="AC8" s="32" t="n">
        <v>1415</v>
      </c>
      <c r="AD8" s="30" t="b">
        <v>1</v>
      </c>
      <c r="AE8" s="30" t="n">
        <v>4</v>
      </c>
      <c r="AF8" s="30" t="b">
        <v>0</v>
      </c>
      <c r="AG8" s="33" t="n">
        <v>46237.46875</v>
      </c>
      <c r="AH8" s="30" t="inlineStr">
        <is>
          <t>ข้อมูลตัวอย่าง</t>
        </is>
      </c>
    </row>
    <row r="9">
      <c r="A9" s="30" t="inlineStr">
        <is>
          <t>WO-2026-0008</t>
        </is>
      </c>
      <c r="B9" s="33" t="n">
        <v>46251.28125</v>
      </c>
      <c r="C9" s="30" t="inlineStr">
        <is>
          <t>กมล ฝ่ายบรรจุ</t>
        </is>
      </c>
      <c r="D9" s="30" t="inlineStr">
        <is>
          <t>kamon@example.com</t>
        </is>
      </c>
      <c r="E9" s="30" t="inlineStr">
        <is>
          <t>MCH-003</t>
        </is>
      </c>
      <c r="F9" s="30" t="inlineStr">
        <is>
          <t>Mechanical</t>
        </is>
      </c>
      <c r="G9" s="30" t="inlineStr">
        <is>
          <t>อุณหภูมิสูงและอัตราลมลดลง</t>
        </is>
      </c>
      <c r="H9" s="30" t="inlineStr">
        <is>
          <t>High</t>
        </is>
      </c>
      <c r="I9" s="30" t="b">
        <v>1</v>
      </c>
      <c r="J9" s="30" t="inlineStr"/>
      <c r="K9" s="30" t="inlineStr">
        <is>
          <t>Closed</t>
        </is>
      </c>
      <c r="L9" s="30" t="inlineStr">
        <is>
          <t>TECH-003</t>
        </is>
      </c>
      <c r="M9" s="33" t="n">
        <v>46251.28472222222</v>
      </c>
      <c r="N9" s="33" t="n">
        <v>46251.29166666666</v>
      </c>
      <c r="O9" s="33" t="n">
        <v>46251.30208333334</v>
      </c>
      <c r="P9" s="33" t="n">
        <v>46251.42708333334</v>
      </c>
      <c r="Q9" s="33" t="n">
        <v>46251.45833333334</v>
      </c>
      <c r="R9" s="33" t="n">
        <v>46251.46875</v>
      </c>
      <c r="S9" s="30" t="n">
        <v>8</v>
      </c>
      <c r="T9" s="33" t="n">
        <v>46251.61458333334</v>
      </c>
      <c r="U9" s="30" t="inlineStr">
        <is>
          <t>On Time</t>
        </is>
      </c>
      <c r="V9" s="30" t="n">
        <v>210</v>
      </c>
      <c r="W9" s="30" t="inlineStr">
        <is>
          <t>ไส้กรองอากาศอุดตัน</t>
        </is>
      </c>
      <c r="X9" s="30" t="inlineStr">
        <is>
          <t>เปลี่ยนไส้กรองและทำความสะอาดทางลม</t>
        </is>
      </c>
      <c r="Y9" s="30" t="inlineStr"/>
      <c r="Z9" s="32" t="n">
        <v>3</v>
      </c>
      <c r="AA9" s="32" t="n">
        <v>1080</v>
      </c>
      <c r="AB9" s="32" t="n">
        <v>650</v>
      </c>
      <c r="AC9" s="32" t="n">
        <v>1730</v>
      </c>
      <c r="AD9" s="30" t="b">
        <v>1</v>
      </c>
      <c r="AE9" s="30" t="n">
        <v>5</v>
      </c>
      <c r="AF9" s="30" t="b">
        <v>0</v>
      </c>
      <c r="AG9" s="33" t="n">
        <v>46251.46875</v>
      </c>
      <c r="AH9" s="30" t="inlineStr">
        <is>
          <t>ข้อมูลตัวอย่าง</t>
        </is>
      </c>
    </row>
    <row r="10">
      <c r="A10" s="30" t="inlineStr">
        <is>
          <t>WO-2026-0009</t>
        </is>
      </c>
      <c r="B10" s="33" t="n">
        <v>46270.625</v>
      </c>
      <c r="C10" s="30" t="inlineStr">
        <is>
          <t>สุรีย์ ฝ่ายวิศวกรรม</t>
        </is>
      </c>
      <c r="D10" s="30" t="inlineStr">
        <is>
          <t>suree@example.com</t>
        </is>
      </c>
      <c r="E10" s="30" t="inlineStr">
        <is>
          <t>MCH-001</t>
        </is>
      </c>
      <c r="F10" s="30" t="inlineStr">
        <is>
          <t>Mechanical</t>
        </is>
      </c>
      <c r="G10" s="30" t="inlineStr">
        <is>
          <t>แรงกดไม่คงที่ระหว่างรอบผลิต</t>
        </is>
      </c>
      <c r="H10" s="30" t="inlineStr">
        <is>
          <t>Critical</t>
        </is>
      </c>
      <c r="I10" s="30" t="b">
        <v>1</v>
      </c>
      <c r="J10" s="30" t="inlineStr"/>
      <c r="K10" s="30" t="inlineStr">
        <is>
          <t>Closed</t>
        </is>
      </c>
      <c r="L10" s="30" t="inlineStr">
        <is>
          <t>TECH-001</t>
        </is>
      </c>
      <c r="M10" s="33" t="n">
        <v>46270.62847222222</v>
      </c>
      <c r="N10" s="33" t="n">
        <v>46270.63541666666</v>
      </c>
      <c r="O10" s="33" t="n">
        <v>46270.64583333334</v>
      </c>
      <c r="P10" s="33" t="n">
        <v>46270.85416666666</v>
      </c>
      <c r="Q10" s="33" t="n">
        <v>46270.88541666666</v>
      </c>
      <c r="R10" s="33" t="n">
        <v>46270.89583333334</v>
      </c>
      <c r="S10" s="30" t="n">
        <v>4</v>
      </c>
      <c r="T10" s="33" t="n">
        <v>46270.79166666666</v>
      </c>
      <c r="U10" s="30" t="inlineStr">
        <is>
          <t>Late</t>
        </is>
      </c>
      <c r="V10" s="30" t="n">
        <v>360</v>
      </c>
      <c r="W10" s="30" t="inlineStr">
        <is>
          <t>น้ำมันเสื่อมและมีสิ่งปนเปื้อนในระบบ</t>
        </is>
      </c>
      <c r="X10" s="30" t="inlineStr">
        <is>
          <t>ถ่ายน้ำมัน ล้างระบบ และปรับแรงดัน</t>
        </is>
      </c>
      <c r="Y10" s="30" t="inlineStr"/>
      <c r="Z10" s="32" t="n">
        <v>5</v>
      </c>
      <c r="AA10" s="32" t="n">
        <v>1750</v>
      </c>
      <c r="AB10" s="32" t="n">
        <v>1900</v>
      </c>
      <c r="AC10" s="32" t="n">
        <v>3650</v>
      </c>
      <c r="AD10" s="30" t="b">
        <v>1</v>
      </c>
      <c r="AE10" s="30" t="n">
        <v>4</v>
      </c>
      <c r="AF10" s="30" t="b">
        <v>0</v>
      </c>
      <c r="AG10" s="33" t="n">
        <v>46270.89583333334</v>
      </c>
      <c r="AH10" s="30" t="inlineStr">
        <is>
          <t>ข้อมูลตัวอย่าง</t>
        </is>
      </c>
    </row>
    <row r="11">
      <c r="A11" s="30" t="inlineStr">
        <is>
          <t>WO-2026-0010</t>
        </is>
      </c>
      <c r="B11" s="33" t="n">
        <v>46287.46875</v>
      </c>
      <c r="C11" s="30" t="inlineStr">
        <is>
          <t>อนันต์ ฝ่ายผลิต</t>
        </is>
      </c>
      <c r="D11" s="30" t="inlineStr">
        <is>
          <t>anant@example.com</t>
        </is>
      </c>
      <c r="E11" s="30" t="inlineStr">
        <is>
          <t>MCH-004</t>
        </is>
      </c>
      <c r="F11" s="30" t="inlineStr">
        <is>
          <t>Quality</t>
        </is>
      </c>
      <c r="G11" s="30" t="inlineStr">
        <is>
          <t>รอยซีลไม่สม่ำเสมอ</t>
        </is>
      </c>
      <c r="H11" s="30" t="inlineStr">
        <is>
          <t>Medium</t>
        </is>
      </c>
      <c r="I11" s="30" t="b">
        <v>0</v>
      </c>
      <c r="J11" s="30" t="inlineStr"/>
      <c r="K11" s="30" t="inlineStr">
        <is>
          <t>Closed</t>
        </is>
      </c>
      <c r="L11" s="30" t="inlineStr">
        <is>
          <t>TECH-004</t>
        </is>
      </c>
      <c r="M11" s="33" t="n">
        <v>46287.47222222222</v>
      </c>
      <c r="N11" s="33" t="n">
        <v>46287.47916666666</v>
      </c>
      <c r="O11" s="33" t="n">
        <v>46287.48958333334</v>
      </c>
      <c r="P11" s="33" t="n">
        <v>46287.5625</v>
      </c>
      <c r="Q11" s="33" t="n">
        <v>46287.59375</v>
      </c>
      <c r="R11" s="33" t="n">
        <v>46287.60416666666</v>
      </c>
      <c r="S11" s="30" t="n">
        <v>24</v>
      </c>
      <c r="T11" s="33" t="n">
        <v>46288.46875</v>
      </c>
      <c r="U11" s="30" t="inlineStr">
        <is>
          <t>On Time</t>
        </is>
      </c>
      <c r="V11" s="30" t="n">
        <v>0</v>
      </c>
      <c r="W11" s="30" t="inlineStr">
        <is>
          <t>เซนเซอร์วัดตำแหน่งตอบสนองช้า</t>
        </is>
      </c>
      <c r="X11" s="30" t="inlineStr">
        <is>
          <t>เปลี่ยนเซนเซอร์และปรับเทียบชุดควบคุม</t>
        </is>
      </c>
      <c r="Y11" s="30" t="inlineStr"/>
      <c r="Z11" s="32" t="n">
        <v>1.75</v>
      </c>
      <c r="AA11" s="32" t="n">
        <v>735</v>
      </c>
      <c r="AB11" s="32" t="n">
        <v>890</v>
      </c>
      <c r="AC11" s="32" t="n">
        <v>1625</v>
      </c>
      <c r="AD11" s="30" t="b">
        <v>1</v>
      </c>
      <c r="AE11" s="30" t="n">
        <v>4</v>
      </c>
      <c r="AF11" s="30" t="b">
        <v>0</v>
      </c>
      <c r="AG11" s="33" t="n">
        <v>46287.60416666666</v>
      </c>
      <c r="AH11" s="30" t="inlineStr">
        <is>
          <t>ข้อมูลตัวอย่าง</t>
        </is>
      </c>
    </row>
    <row r="12">
      <c r="A12" s="30" t="inlineStr">
        <is>
          <t>WO-2026-0011</t>
        </is>
      </c>
      <c r="B12" s="33" t="n">
        <v>46299.33333333334</v>
      </c>
      <c r="C12" s="30" t="inlineStr">
        <is>
          <t>กมล ฝ่ายบรรจุ</t>
        </is>
      </c>
      <c r="D12" s="30" t="inlineStr">
        <is>
          <t>kamon@example.com</t>
        </is>
      </c>
      <c r="E12" s="30" t="inlineStr">
        <is>
          <t>MCH-002</t>
        </is>
      </c>
      <c r="F12" s="30" t="inlineStr">
        <is>
          <t>Mechanical</t>
        </is>
      </c>
      <c r="G12" s="30" t="inlineStr">
        <is>
          <t>สายพานมีรอยแตกร้าว</t>
        </is>
      </c>
      <c r="H12" s="30" t="inlineStr">
        <is>
          <t>High</t>
        </is>
      </c>
      <c r="I12" s="30" t="b">
        <v>1</v>
      </c>
      <c r="J12" s="30" t="inlineStr"/>
      <c r="K12" s="30" t="inlineStr">
        <is>
          <t>Closed</t>
        </is>
      </c>
      <c r="L12" s="30" t="inlineStr">
        <is>
          <t>TECH-001</t>
        </is>
      </c>
      <c r="M12" s="33" t="n">
        <v>46299.33680555555</v>
      </c>
      <c r="N12" s="33" t="n">
        <v>46299.34375</v>
      </c>
      <c r="O12" s="33" t="n">
        <v>46299.35416666666</v>
      </c>
      <c r="P12" s="33" t="n">
        <v>46299.4375</v>
      </c>
      <c r="Q12" s="33" t="n">
        <v>46299.46875</v>
      </c>
      <c r="R12" s="33" t="n">
        <v>46299.47916666666</v>
      </c>
      <c r="S12" s="30" t="n">
        <v>8</v>
      </c>
      <c r="T12" s="33" t="n">
        <v>46299.66666666666</v>
      </c>
      <c r="U12" s="30" t="inlineStr">
        <is>
          <t>On Time</t>
        </is>
      </c>
      <c r="V12" s="30" t="n">
        <v>150</v>
      </c>
      <c r="W12" s="30" t="inlineStr">
        <is>
          <t>สายพานครบอายุและความตึงไม่สม่ำเสมอ</t>
        </is>
      </c>
      <c r="X12" s="30" t="inlineStr">
        <is>
          <t>เปลี่ยนสายพานและตั้งความตึง</t>
        </is>
      </c>
      <c r="Y12" s="30" t="inlineStr"/>
      <c r="Z12" s="32" t="n">
        <v>2</v>
      </c>
      <c r="AA12" s="32" t="n">
        <v>700</v>
      </c>
      <c r="AB12" s="32" t="n">
        <v>380</v>
      </c>
      <c r="AC12" s="32" t="n">
        <v>1080</v>
      </c>
      <c r="AD12" s="30" t="b">
        <v>1</v>
      </c>
      <c r="AE12" s="30" t="n">
        <v>5</v>
      </c>
      <c r="AF12" s="30" t="b">
        <v>0</v>
      </c>
      <c r="AG12" s="33" t="n">
        <v>46299.47916666666</v>
      </c>
      <c r="AH12" s="30" t="inlineStr">
        <is>
          <t>ข้อมูลตัวอย่าง</t>
        </is>
      </c>
    </row>
    <row r="13">
      <c r="A13" s="30" t="inlineStr">
        <is>
          <t>WO-2026-0012</t>
        </is>
      </c>
      <c r="B13" s="33" t="n">
        <v>46307.29166666666</v>
      </c>
      <c r="C13" s="30" t="inlineStr">
        <is>
          <t>สุรีย์ ฝ่ายวิศวกรรม</t>
        </is>
      </c>
      <c r="D13" s="30" t="inlineStr">
        <is>
          <t>suree@example.com</t>
        </is>
      </c>
      <c r="E13" s="30" t="inlineStr">
        <is>
          <t>MCH-003</t>
        </is>
      </c>
      <c r="F13" s="30" t="inlineStr">
        <is>
          <t>Pneumatic</t>
        </is>
      </c>
      <c r="G13" s="30" t="inlineStr">
        <is>
          <t>วาล์วระบายไม่ทำงาน</t>
        </is>
      </c>
      <c r="H13" s="30" t="inlineStr">
        <is>
          <t>Critical</t>
        </is>
      </c>
      <c r="I13" s="30" t="b">
        <v>1</v>
      </c>
      <c r="J13" s="30" t="inlineStr"/>
      <c r="K13" s="30" t="inlineStr">
        <is>
          <t>Closed</t>
        </is>
      </c>
      <c r="L13" s="30" t="inlineStr">
        <is>
          <t>TECH-003</t>
        </is>
      </c>
      <c r="M13" s="33" t="n">
        <v>46307.29513888889</v>
      </c>
      <c r="N13" s="33" t="n">
        <v>46307.30208333334</v>
      </c>
      <c r="O13" s="33" t="n">
        <v>46307.3125</v>
      </c>
      <c r="P13" s="33" t="n">
        <v>46307.5</v>
      </c>
      <c r="Q13" s="33" t="n">
        <v>46307.53125</v>
      </c>
      <c r="R13" s="33" t="n">
        <v>46307.54166666666</v>
      </c>
      <c r="S13" s="30" t="n">
        <v>4</v>
      </c>
      <c r="T13" s="33" t="n">
        <v>46307.45833333334</v>
      </c>
      <c r="U13" s="30" t="inlineStr">
        <is>
          <t>Late</t>
        </is>
      </c>
      <c r="V13" s="30" t="n">
        <v>330</v>
      </c>
      <c r="W13" s="30" t="inlineStr">
        <is>
          <t>ขดลวดโซลินอยด์ไหม้จากแรงดันไฟเกิน</t>
        </is>
      </c>
      <c r="X13" s="30" t="inlineStr">
        <is>
          <t>เปลี่ยนโซลินอยด์และตรวจระบบไฟ</t>
        </is>
      </c>
      <c r="Y13" s="30" t="inlineStr"/>
      <c r="Z13" s="32" t="n">
        <v>4.5</v>
      </c>
      <c r="AA13" s="32" t="n">
        <v>1620</v>
      </c>
      <c r="AB13" s="32" t="n">
        <v>1285</v>
      </c>
      <c r="AC13" s="32" t="n">
        <v>2905</v>
      </c>
      <c r="AD13" s="30" t="b">
        <v>1</v>
      </c>
      <c r="AE13" s="30" t="n">
        <v>5</v>
      </c>
      <c r="AF13" s="30" t="b">
        <v>0</v>
      </c>
      <c r="AG13" s="33" t="n">
        <v>46307.54166666666</v>
      </c>
      <c r="AH13" s="30" t="inlineStr">
        <is>
          <t>ข้อมูลตัวอย่าง</t>
        </is>
      </c>
    </row>
    <row r="14">
      <c r="A14" s="30" t="inlineStr">
        <is>
          <t>WO-2026-0013</t>
        </is>
      </c>
      <c r="B14" s="33" t="n">
        <v>46318.34375</v>
      </c>
      <c r="C14" s="30" t="inlineStr">
        <is>
          <t>อนันต์ ฝ่ายผลิต</t>
        </is>
      </c>
      <c r="D14" s="30" t="inlineStr">
        <is>
          <t>anant@example.com</t>
        </is>
      </c>
      <c r="E14" s="30" t="inlineStr">
        <is>
          <t>MCH-006</t>
        </is>
      </c>
      <c r="F14" s="30" t="inlineStr">
        <is>
          <t>Software</t>
        </is>
      </c>
      <c r="G14" s="30" t="inlineStr">
        <is>
          <t>โปรแกรม CNC แจ้งเตือน Axis overload</t>
        </is>
      </c>
      <c r="H14" s="30" t="inlineStr">
        <is>
          <t>High</t>
        </is>
      </c>
      <c r="I14" s="30" t="b">
        <v>0</v>
      </c>
      <c r="J14" s="30" t="inlineStr"/>
      <c r="K14" s="30" t="inlineStr">
        <is>
          <t>New</t>
        </is>
      </c>
      <c r="L14" s="30" t="inlineStr"/>
      <c r="M14" s="33" t="inlineStr"/>
      <c r="N14" s="33" t="inlineStr"/>
      <c r="O14" s="33" t="inlineStr"/>
      <c r="P14" s="33" t="inlineStr"/>
      <c r="Q14" s="33" t="inlineStr"/>
      <c r="R14" s="33" t="inlineStr"/>
      <c r="S14" s="30" t="n">
        <v>8</v>
      </c>
      <c r="T14" s="33" t="n">
        <v>46318.67708333334</v>
      </c>
      <c r="U14" s="30" t="inlineStr">
        <is>
          <t>Within SLA</t>
        </is>
      </c>
      <c r="V14" s="30" t="n">
        <v>0</v>
      </c>
      <c r="W14" s="30" t="inlineStr"/>
      <c r="X14" s="30" t="inlineStr"/>
      <c r="Y14" s="30" t="inlineStr"/>
      <c r="Z14" s="32" t="n">
        <v>0</v>
      </c>
      <c r="AA14" s="32" t="n">
        <v>0</v>
      </c>
      <c r="AB14" s="32" t="n">
        <v>0</v>
      </c>
      <c r="AC14" s="32" t="n">
        <v>0</v>
      </c>
      <c r="AD14" s="30" t="b">
        <v>0</v>
      </c>
      <c r="AE14" s="30" t="inlineStr"/>
      <c r="AF14" s="30" t="b">
        <v>0</v>
      </c>
      <c r="AG14" s="33" t="n">
        <v>46318.47916666666</v>
      </c>
      <c r="AH14" s="30" t="inlineStr">
        <is>
          <t>รอหัวหน้ามอบหมาย</t>
        </is>
      </c>
    </row>
    <row r="15">
      <c r="A15" s="30" t="inlineStr">
        <is>
          <t>WO-2026-0014</t>
        </is>
      </c>
      <c r="B15" s="33" t="n">
        <v>46318.31944444445</v>
      </c>
      <c r="C15" s="30" t="inlineStr">
        <is>
          <t>กมล ฝ่ายบรรจุ</t>
        </is>
      </c>
      <c r="D15" s="30" t="inlineStr">
        <is>
          <t>kamon@example.com</t>
        </is>
      </c>
      <c r="E15" s="30" t="inlineStr">
        <is>
          <t>MCH-001</t>
        </is>
      </c>
      <c r="F15" s="30" t="inlineStr">
        <is>
          <t>Hydraulic</t>
        </is>
      </c>
      <c r="G15" s="30" t="inlineStr">
        <is>
          <t>พบคราบน้ำมันใต้ชุดวาล์ว</t>
        </is>
      </c>
      <c r="H15" s="30" t="inlineStr">
        <is>
          <t>High</t>
        </is>
      </c>
      <c r="I15" s="30" t="b">
        <v>0</v>
      </c>
      <c r="J15" s="30" t="inlineStr"/>
      <c r="K15" s="30" t="inlineStr">
        <is>
          <t>Assigned</t>
        </is>
      </c>
      <c r="L15" s="30" t="inlineStr">
        <is>
          <t>TECH-001</t>
        </is>
      </c>
      <c r="M15" s="33" t="n">
        <v>46318.32638888889</v>
      </c>
      <c r="N15" s="33" t="inlineStr"/>
      <c r="O15" s="33" t="inlineStr"/>
      <c r="P15" s="33" t="inlineStr"/>
      <c r="Q15" s="33" t="inlineStr"/>
      <c r="R15" s="33" t="inlineStr"/>
      <c r="S15" s="30" t="n">
        <v>8</v>
      </c>
      <c r="T15" s="33" t="n">
        <v>46318.65277777778</v>
      </c>
      <c r="U15" s="30" t="inlineStr">
        <is>
          <t>Within SLA</t>
        </is>
      </c>
      <c r="V15" s="30" t="n">
        <v>0</v>
      </c>
      <c r="W15" s="30" t="inlineStr"/>
      <c r="X15" s="30" t="inlineStr"/>
      <c r="Y15" s="30" t="inlineStr"/>
      <c r="Z15" s="32" t="n">
        <v>0</v>
      </c>
      <c r="AA15" s="32" t="n">
        <v>0</v>
      </c>
      <c r="AB15" s="32" t="n">
        <v>0</v>
      </c>
      <c r="AC15" s="32" t="n">
        <v>0</v>
      </c>
      <c r="AD15" s="30" t="b">
        <v>0</v>
      </c>
      <c r="AE15" s="30" t="inlineStr"/>
      <c r="AF15" s="30" t="b">
        <v>0</v>
      </c>
      <c r="AG15" s="33" t="n">
        <v>46318.47916666666</v>
      </c>
      <c r="AH15" s="30" t="inlineStr">
        <is>
          <t>นัดตรวจช่วงพักสายการผลิต</t>
        </is>
      </c>
    </row>
    <row r="16">
      <c r="A16" s="30" t="inlineStr">
        <is>
          <t>WO-2026-0015</t>
        </is>
      </c>
      <c r="B16" s="33" t="n">
        <v>46317.76388888889</v>
      </c>
      <c r="C16" s="30" t="inlineStr">
        <is>
          <t>สุรีย์ ฝ่ายวิศวกรรม</t>
        </is>
      </c>
      <c r="D16" s="30" t="inlineStr">
        <is>
          <t>suree@example.com</t>
        </is>
      </c>
      <c r="E16" s="30" t="inlineStr">
        <is>
          <t>MCH-005</t>
        </is>
      </c>
      <c r="F16" s="30" t="inlineStr">
        <is>
          <t>Mechanical</t>
        </is>
      </c>
      <c r="G16" s="30" t="inlineStr">
        <is>
          <t>ปั๊มสั่นสูงกว่าค่ามาตรฐาน</t>
        </is>
      </c>
      <c r="H16" s="30" t="inlineStr">
        <is>
          <t>Critical</t>
        </is>
      </c>
      <c r="I16" s="30" t="b">
        <v>1</v>
      </c>
      <c r="J16" s="30" t="inlineStr"/>
      <c r="K16" s="30" t="inlineStr">
        <is>
          <t>In Progress</t>
        </is>
      </c>
      <c r="L16" s="30" t="inlineStr">
        <is>
          <t>TECH-001</t>
        </is>
      </c>
      <c r="M16" s="33" t="n">
        <v>46317.77083333334</v>
      </c>
      <c r="N16" s="33" t="n">
        <v>46317.78125</v>
      </c>
      <c r="O16" s="33" t="n">
        <v>46317.79166666666</v>
      </c>
      <c r="P16" s="33" t="inlineStr"/>
      <c r="Q16" s="33" t="inlineStr"/>
      <c r="R16" s="33" t="inlineStr"/>
      <c r="S16" s="30" t="n">
        <v>4</v>
      </c>
      <c r="T16" s="33" t="n">
        <v>46317.93055555555</v>
      </c>
      <c r="U16" s="30" t="inlineStr">
        <is>
          <t>Overdue</t>
        </is>
      </c>
      <c r="V16" s="30" t="n">
        <v>1020</v>
      </c>
      <c r="W16" s="30" t="inlineStr">
        <is>
          <t>อยู่ระหว่างตรวจสอบแนวเพลา</t>
        </is>
      </c>
      <c r="X16" s="30" t="inlineStr">
        <is>
          <t>ตรวจ vibration และ alignment</t>
        </is>
      </c>
      <c r="Y16" s="30" t="inlineStr"/>
      <c r="Z16" s="32" t="n">
        <v>17</v>
      </c>
      <c r="AA16" s="32" t="n">
        <v>5950</v>
      </c>
      <c r="AB16" s="32" t="n">
        <v>0</v>
      </c>
      <c r="AC16" s="32" t="n">
        <v>5950</v>
      </c>
      <c r="AD16" s="30" t="b">
        <v>0</v>
      </c>
      <c r="AE16" s="30" t="inlineStr"/>
      <c r="AF16" s="30" t="b">
        <v>0</v>
      </c>
      <c r="AG16" s="33" t="n">
        <v>46318.47916666666</v>
      </c>
      <c r="AH16" s="30" t="inlineStr">
        <is>
          <t>กำลังดำเนินการ</t>
        </is>
      </c>
    </row>
    <row r="17">
      <c r="A17" s="30" t="inlineStr">
        <is>
          <t>WO-2026-0016</t>
        </is>
      </c>
      <c r="B17" s="33" t="n">
        <v>46317.41666666666</v>
      </c>
      <c r="C17" s="30" t="inlineStr">
        <is>
          <t>อนันต์ ฝ่ายผลิต</t>
        </is>
      </c>
      <c r="D17" s="30" t="inlineStr">
        <is>
          <t>anant@example.com</t>
        </is>
      </c>
      <c r="E17" s="30" t="inlineStr">
        <is>
          <t>MCH-004</t>
        </is>
      </c>
      <c r="F17" s="30" t="inlineStr">
        <is>
          <t>Electrical</t>
        </is>
      </c>
      <c r="G17" s="30" t="inlineStr">
        <is>
          <t>ชุดควบคุมอุณหภูมิตัดเป็นช่วง</t>
        </is>
      </c>
      <c r="H17" s="30" t="inlineStr">
        <is>
          <t>Medium</t>
        </is>
      </c>
      <c r="I17" s="30" t="b">
        <v>0</v>
      </c>
      <c r="J17" s="30" t="inlineStr"/>
      <c r="K17" s="30" t="inlineStr">
        <is>
          <t>Waiting Parts</t>
        </is>
      </c>
      <c r="L17" s="30" t="inlineStr">
        <is>
          <t>TECH-002</t>
        </is>
      </c>
      <c r="M17" s="33" t="n">
        <v>46317.42361111111</v>
      </c>
      <c r="N17" s="33" t="n">
        <v>46317.43402777778</v>
      </c>
      <c r="O17" s="33" t="n">
        <v>46317.44444444445</v>
      </c>
      <c r="P17" s="33" t="inlineStr"/>
      <c r="Q17" s="33" t="inlineStr"/>
      <c r="R17" s="33" t="inlineStr"/>
      <c r="S17" s="30" t="n">
        <v>24</v>
      </c>
      <c r="T17" s="33" t="n">
        <v>46318.41666666666</v>
      </c>
      <c r="U17" s="30" t="inlineStr">
        <is>
          <t>Overdue</t>
        </is>
      </c>
      <c r="V17" s="30" t="n">
        <v>0</v>
      </c>
      <c r="W17" s="30" t="inlineStr">
        <is>
          <t>รีเลย์ควบคุมหน้าสัมผัสเสื่อม</t>
        </is>
      </c>
      <c r="X17" s="30" t="inlineStr">
        <is>
          <t>รออะไหล่รีเลย์</t>
        </is>
      </c>
      <c r="Y17" s="30" t="inlineStr"/>
      <c r="Z17" s="32" t="n">
        <v>25.33</v>
      </c>
      <c r="AA17" s="32" t="n">
        <v>9625.4</v>
      </c>
      <c r="AB17" s="32" t="n">
        <v>0</v>
      </c>
      <c r="AC17" s="32" t="n">
        <v>9625.4</v>
      </c>
      <c r="AD17" s="30" t="b">
        <v>0</v>
      </c>
      <c r="AE17" s="30" t="inlineStr"/>
      <c r="AF17" s="30" t="b">
        <v>0</v>
      </c>
      <c r="AG17" s="33" t="n">
        <v>46318.47916666666</v>
      </c>
      <c r="AH17" s="30" t="inlineStr">
        <is>
          <t>อะไหล่กำหนดถึง 24 ต.ค.</t>
        </is>
      </c>
    </row>
  </sheetData>
  <autoFilter ref="A1:AH17"/>
  <conditionalFormatting sqref="K2:K2000">
    <cfRule type="expression" priority="1" dxfId="0">
      <formula>$K2="New"</formula>
    </cfRule>
    <cfRule type="expression" priority="2" dxfId="1">
      <formula>$K2="Assigned"</formula>
    </cfRule>
    <cfRule type="expression" priority="3" dxfId="2">
      <formula>$K2="Accepted"</formula>
    </cfRule>
    <cfRule type="expression" priority="4" dxfId="3">
      <formula>$K2="In Progress"</formula>
    </cfRule>
    <cfRule type="expression" priority="5" dxfId="4">
      <formula>$K2="Waiting Parts"</formula>
    </cfRule>
    <cfRule type="expression" priority="6" dxfId="5">
      <formula>$K2="Completed"</formula>
    </cfRule>
    <cfRule type="expression" priority="7" dxfId="6">
      <formula>$K2="Verified"</formula>
    </cfRule>
    <cfRule type="expression" priority="8" dxfId="7">
      <formula>$K2="Closed"</formula>
    </cfRule>
    <cfRule type="expression" priority="9" dxfId="8">
      <formula>$K2="Cancelled"</formula>
    </cfRule>
  </conditionalFormatting>
  <conditionalFormatting sqref="H2:H2000">
    <cfRule type="expression" priority="10" dxfId="8">
      <formula>$H2="Critical"</formula>
    </cfRule>
  </conditionalFormatting>
  <conditionalFormatting sqref="U2:U2000">
    <cfRule type="expression" priority="11" dxfId="8">
      <formula>$U2="Overdue"</formula>
    </cfRule>
  </conditionalFormatting>
  <dataValidations count="7">
    <dataValidation sqref="F2:F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=ProblemCategoryList</formula1>
    </dataValidation>
    <dataValidation sqref="H2:H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=PriorityList</formula1>
    </dataValidation>
    <dataValidation sqref="I2:I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=BooleanList</formula1>
    </dataValidation>
    <dataValidation sqref="K2:K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=WorkOrderStatusList</formula1>
    </dataValidation>
    <dataValidation sqref="AD2:AD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=BooleanList</formula1>
    </dataValidation>
    <dataValidation sqref="AE2:AE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=RatingList</formula1>
    </dataValidation>
    <dataValidation sqref="AF2:AF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=BooleanList</formula1>
    </dataValidation>
  </dataValidations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A7F3D0"/>
    <outlinePr summaryBelow="1" summaryRight="1"/>
    <pageSetUpPr fitToPage="1"/>
  </sheetPr>
  <dimension ref="A1:K1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2" customWidth="1" min="10" max="10"/>
    <col width="30" customWidth="1" min="11" max="11"/>
  </cols>
  <sheetData>
    <row r="1" ht="32" customHeight="1">
      <c r="A1" s="29" t="inlineStr">
        <is>
          <t>AssignmentID</t>
        </is>
      </c>
      <c r="B1" s="29" t="inlineStr">
        <is>
          <t>WorkOrderID</t>
        </is>
      </c>
      <c r="C1" s="29" t="inlineStr">
        <is>
          <t>TechnicianID</t>
        </is>
      </c>
      <c r="D1" s="29" t="inlineStr">
        <is>
          <t>AssignmentRole</t>
        </is>
      </c>
      <c r="E1" s="29" t="inlineStr">
        <is>
          <t>AssignedAt</t>
        </is>
      </c>
      <c r="F1" s="29" t="inlineStr">
        <is>
          <t>AcceptedAt</t>
        </is>
      </c>
      <c r="G1" s="29" t="inlineStr">
        <is>
          <t>StartedAt</t>
        </is>
      </c>
      <c r="H1" s="29" t="inlineStr">
        <is>
          <t>FinishedAt</t>
        </is>
      </c>
      <c r="I1" s="29" t="inlineStr">
        <is>
          <t>AssignmentStatus</t>
        </is>
      </c>
      <c r="J1" s="29" t="inlineStr">
        <is>
          <t>WorkHours</t>
        </is>
      </c>
      <c r="K1" s="29" t="inlineStr">
        <is>
          <t>Notes</t>
        </is>
      </c>
    </row>
    <row r="2">
      <c r="A2" s="30" t="inlineStr">
        <is>
          <t>ASN-0001</t>
        </is>
      </c>
      <c r="B2" s="30" t="inlineStr">
        <is>
          <t>WO-2026-0001</t>
        </is>
      </c>
      <c r="C2" s="30" t="inlineStr">
        <is>
          <t>TECH-001</t>
        </is>
      </c>
      <c r="D2" s="30" t="inlineStr">
        <is>
          <t>Lead</t>
        </is>
      </c>
      <c r="E2" s="33" t="n">
        <v>46152.33680555555</v>
      </c>
      <c r="F2" s="33" t="n">
        <v>46152.34375</v>
      </c>
      <c r="G2" s="33" t="n">
        <v>46152.35416666666</v>
      </c>
      <c r="H2" s="33" t="n">
        <v>46152.47916666666</v>
      </c>
      <c r="I2" s="30" t="inlineStr">
        <is>
          <t>Finished</t>
        </is>
      </c>
      <c r="J2" s="32" t="n">
        <v>3</v>
      </c>
      <c r="K2" s="30" t="inlineStr"/>
    </row>
    <row r="3">
      <c r="A3" s="30" t="inlineStr">
        <is>
          <t>ASN-0002</t>
        </is>
      </c>
      <c r="B3" s="30" t="inlineStr">
        <is>
          <t>WO-2026-0002</t>
        </is>
      </c>
      <c r="C3" s="30" t="inlineStr">
        <is>
          <t>TECH-001</t>
        </is>
      </c>
      <c r="D3" s="30" t="inlineStr">
        <is>
          <t>Lead</t>
        </is>
      </c>
      <c r="E3" s="33" t="n">
        <v>46160.58680555555</v>
      </c>
      <c r="F3" s="33" t="n">
        <v>46160.59375</v>
      </c>
      <c r="G3" s="33" t="n">
        <v>46160.60416666666</v>
      </c>
      <c r="H3" s="33" t="n">
        <v>46160.66666666666</v>
      </c>
      <c r="I3" s="30" t="inlineStr">
        <is>
          <t>Finished</t>
        </is>
      </c>
      <c r="J3" s="32" t="n">
        <v>1.5</v>
      </c>
      <c r="K3" s="30" t="inlineStr"/>
    </row>
    <row r="4">
      <c r="A4" s="30" t="inlineStr">
        <is>
          <t>ASN-0003</t>
        </is>
      </c>
      <c r="B4" s="30" t="inlineStr">
        <is>
          <t>WO-2026-0003</t>
        </is>
      </c>
      <c r="C4" s="30" t="inlineStr">
        <is>
          <t>TECH-003</t>
        </is>
      </c>
      <c r="D4" s="30" t="inlineStr">
        <is>
          <t>Lead</t>
        </is>
      </c>
      <c r="E4" s="33" t="n">
        <v>46175.31597222222</v>
      </c>
      <c r="F4" s="33" t="n">
        <v>46175.32291666666</v>
      </c>
      <c r="G4" s="33" t="n">
        <v>46175.33333333334</v>
      </c>
      <c r="H4" s="33" t="n">
        <v>46175.5</v>
      </c>
      <c r="I4" s="30" t="inlineStr">
        <is>
          <t>Finished</t>
        </is>
      </c>
      <c r="J4" s="32" t="n">
        <v>4</v>
      </c>
      <c r="K4" s="30" t="inlineStr"/>
    </row>
    <row r="5">
      <c r="A5" s="30" t="inlineStr">
        <is>
          <t>ASN-0004</t>
        </is>
      </c>
      <c r="B5" s="30" t="inlineStr">
        <is>
          <t>WO-2026-0004</t>
        </is>
      </c>
      <c r="C5" s="30" t="inlineStr">
        <is>
          <t>TECH-002</t>
        </is>
      </c>
      <c r="D5" s="30" t="inlineStr">
        <is>
          <t>Lead</t>
        </is>
      </c>
      <c r="E5" s="33" t="n">
        <v>46193.42013888889</v>
      </c>
      <c r="F5" s="33" t="n">
        <v>46193.42708333334</v>
      </c>
      <c r="G5" s="33" t="n">
        <v>46193.4375</v>
      </c>
      <c r="H5" s="33" t="n">
        <v>46193.52083333334</v>
      </c>
      <c r="I5" s="30" t="inlineStr">
        <is>
          <t>Finished</t>
        </is>
      </c>
      <c r="J5" s="32" t="n">
        <v>2</v>
      </c>
      <c r="K5" s="30" t="inlineStr"/>
    </row>
    <row r="6">
      <c r="A6" s="30" t="inlineStr">
        <is>
          <t>ASN-0005</t>
        </is>
      </c>
      <c r="B6" s="30" t="inlineStr">
        <is>
          <t>WO-2026-0005</t>
        </is>
      </c>
      <c r="C6" s="30" t="inlineStr">
        <is>
          <t>TECH-002</t>
        </is>
      </c>
      <c r="D6" s="30" t="inlineStr">
        <is>
          <t>Lead</t>
        </is>
      </c>
      <c r="E6" s="33" t="n">
        <v>46204.37847222222</v>
      </c>
      <c r="F6" s="33" t="n">
        <v>46204.38541666666</v>
      </c>
      <c r="G6" s="33" t="n">
        <v>46204.39583333334</v>
      </c>
      <c r="H6" s="33" t="n">
        <v>46204.5</v>
      </c>
      <c r="I6" s="30" t="inlineStr">
        <is>
          <t>Finished</t>
        </is>
      </c>
      <c r="J6" s="32" t="n">
        <v>2.5</v>
      </c>
      <c r="K6" s="30" t="inlineStr"/>
    </row>
    <row r="7">
      <c r="A7" s="30" t="inlineStr">
        <is>
          <t>ASN-0006</t>
        </is>
      </c>
      <c r="B7" s="30" t="inlineStr">
        <is>
          <t>WO-2026-0006</t>
        </is>
      </c>
      <c r="C7" s="30" t="inlineStr">
        <is>
          <t>TECH-001</t>
        </is>
      </c>
      <c r="D7" s="30" t="inlineStr">
        <is>
          <t>Lead</t>
        </is>
      </c>
      <c r="E7" s="33" t="n">
        <v>46218.54513888889</v>
      </c>
      <c r="F7" s="33" t="n">
        <v>46218.55208333334</v>
      </c>
      <c r="G7" s="33" t="n">
        <v>46218.5625</v>
      </c>
      <c r="H7" s="33" t="n">
        <v>46218.70833333334</v>
      </c>
      <c r="I7" s="30" t="inlineStr">
        <is>
          <t>Finished</t>
        </is>
      </c>
      <c r="J7" s="32" t="n">
        <v>3.5</v>
      </c>
      <c r="K7" s="30" t="inlineStr"/>
    </row>
    <row r="8">
      <c r="A8" s="30" t="inlineStr">
        <is>
          <t>ASN-0007</t>
        </is>
      </c>
      <c r="B8" s="30" t="inlineStr">
        <is>
          <t>WO-2026-0007</t>
        </is>
      </c>
      <c r="C8" s="30" t="inlineStr">
        <is>
          <t>TECH-004</t>
        </is>
      </c>
      <c r="D8" s="30" t="inlineStr">
        <is>
          <t>Lead</t>
        </is>
      </c>
      <c r="E8" s="33" t="n">
        <v>46237.35763888889</v>
      </c>
      <c r="F8" s="33" t="n">
        <v>46237.36458333334</v>
      </c>
      <c r="G8" s="33" t="n">
        <v>46237.375</v>
      </c>
      <c r="H8" s="33" t="n">
        <v>46237.42708333334</v>
      </c>
      <c r="I8" s="30" t="inlineStr">
        <is>
          <t>Finished</t>
        </is>
      </c>
      <c r="J8" s="32" t="n">
        <v>1.25</v>
      </c>
      <c r="K8" s="30" t="inlineStr"/>
    </row>
    <row r="9">
      <c r="A9" s="30" t="inlineStr">
        <is>
          <t>ASN-0008</t>
        </is>
      </c>
      <c r="B9" s="30" t="inlineStr">
        <is>
          <t>WO-2026-0008</t>
        </is>
      </c>
      <c r="C9" s="30" t="inlineStr">
        <is>
          <t>TECH-003</t>
        </is>
      </c>
      <c r="D9" s="30" t="inlineStr">
        <is>
          <t>Lead</t>
        </is>
      </c>
      <c r="E9" s="33" t="n">
        <v>46251.28472222222</v>
      </c>
      <c r="F9" s="33" t="n">
        <v>46251.29166666666</v>
      </c>
      <c r="G9" s="33" t="n">
        <v>46251.30208333334</v>
      </c>
      <c r="H9" s="33" t="n">
        <v>46251.42708333334</v>
      </c>
      <c r="I9" s="30" t="inlineStr">
        <is>
          <t>Finished</t>
        </is>
      </c>
      <c r="J9" s="32" t="n">
        <v>3</v>
      </c>
      <c r="K9" s="30" t="inlineStr"/>
    </row>
    <row r="10">
      <c r="A10" s="30" t="inlineStr">
        <is>
          <t>ASN-0009</t>
        </is>
      </c>
      <c r="B10" s="30" t="inlineStr">
        <is>
          <t>WO-2026-0009</t>
        </is>
      </c>
      <c r="C10" s="30" t="inlineStr">
        <is>
          <t>TECH-001</t>
        </is>
      </c>
      <c r="D10" s="30" t="inlineStr">
        <is>
          <t>Lead</t>
        </is>
      </c>
      <c r="E10" s="33" t="n">
        <v>46270.62847222222</v>
      </c>
      <c r="F10" s="33" t="n">
        <v>46270.63541666666</v>
      </c>
      <c r="G10" s="33" t="n">
        <v>46270.64583333334</v>
      </c>
      <c r="H10" s="33" t="n">
        <v>46270.85416666666</v>
      </c>
      <c r="I10" s="30" t="inlineStr">
        <is>
          <t>Finished</t>
        </is>
      </c>
      <c r="J10" s="32" t="n">
        <v>5</v>
      </c>
      <c r="K10" s="30" t="inlineStr"/>
    </row>
    <row r="11">
      <c r="A11" s="30" t="inlineStr">
        <is>
          <t>ASN-0009-B</t>
        </is>
      </c>
      <c r="B11" s="30" t="inlineStr">
        <is>
          <t>WO-2026-0009</t>
        </is>
      </c>
      <c r="C11" s="30" t="inlineStr">
        <is>
          <t>TECH-002</t>
        </is>
      </c>
      <c r="D11" s="30" t="inlineStr">
        <is>
          <t>Assistant</t>
        </is>
      </c>
      <c r="E11" s="33" t="n">
        <v>46270.64930555555</v>
      </c>
      <c r="F11" s="33" t="n">
        <v>46270.64583333334</v>
      </c>
      <c r="G11" s="33" t="n">
        <v>46270.64583333334</v>
      </c>
      <c r="H11" s="33" t="n">
        <v>46270.85416666666</v>
      </c>
      <c r="I11" s="30" t="inlineStr">
        <is>
          <t>Finished</t>
        </is>
      </c>
      <c r="J11" s="32" t="n">
        <v>2.5</v>
      </c>
      <c r="K11" s="30" t="inlineStr">
        <is>
          <t>ช่วยตรวจระบบไฟ/ควบคุม</t>
        </is>
      </c>
    </row>
    <row r="12">
      <c r="A12" s="30" t="inlineStr">
        <is>
          <t>ASN-0010</t>
        </is>
      </c>
      <c r="B12" s="30" t="inlineStr">
        <is>
          <t>WO-2026-0010</t>
        </is>
      </c>
      <c r="C12" s="30" t="inlineStr">
        <is>
          <t>TECH-004</t>
        </is>
      </c>
      <c r="D12" s="30" t="inlineStr">
        <is>
          <t>Lead</t>
        </is>
      </c>
      <c r="E12" s="33" t="n">
        <v>46287.47222222222</v>
      </c>
      <c r="F12" s="33" t="n">
        <v>46287.47916666666</v>
      </c>
      <c r="G12" s="33" t="n">
        <v>46287.48958333334</v>
      </c>
      <c r="H12" s="33" t="n">
        <v>46287.5625</v>
      </c>
      <c r="I12" s="30" t="inlineStr">
        <is>
          <t>Finished</t>
        </is>
      </c>
      <c r="J12" s="32" t="n">
        <v>1.75</v>
      </c>
      <c r="K12" s="30" t="inlineStr"/>
    </row>
    <row r="13">
      <c r="A13" s="30" t="inlineStr">
        <is>
          <t>ASN-0011</t>
        </is>
      </c>
      <c r="B13" s="30" t="inlineStr">
        <is>
          <t>WO-2026-0011</t>
        </is>
      </c>
      <c r="C13" s="30" t="inlineStr">
        <is>
          <t>TECH-001</t>
        </is>
      </c>
      <c r="D13" s="30" t="inlineStr">
        <is>
          <t>Lead</t>
        </is>
      </c>
      <c r="E13" s="33" t="n">
        <v>46299.33680555555</v>
      </c>
      <c r="F13" s="33" t="n">
        <v>46299.34375</v>
      </c>
      <c r="G13" s="33" t="n">
        <v>46299.35416666666</v>
      </c>
      <c r="H13" s="33" t="n">
        <v>46299.4375</v>
      </c>
      <c r="I13" s="30" t="inlineStr">
        <is>
          <t>Finished</t>
        </is>
      </c>
      <c r="J13" s="32" t="n">
        <v>2</v>
      </c>
      <c r="K13" s="30" t="inlineStr"/>
    </row>
    <row r="14">
      <c r="A14" s="30" t="inlineStr">
        <is>
          <t>ASN-0012</t>
        </is>
      </c>
      <c r="B14" s="30" t="inlineStr">
        <is>
          <t>WO-2026-0012</t>
        </is>
      </c>
      <c r="C14" s="30" t="inlineStr">
        <is>
          <t>TECH-003</t>
        </is>
      </c>
      <c r="D14" s="30" t="inlineStr">
        <is>
          <t>Lead</t>
        </is>
      </c>
      <c r="E14" s="33" t="n">
        <v>46307.29513888889</v>
      </c>
      <c r="F14" s="33" t="n">
        <v>46307.30208333334</v>
      </c>
      <c r="G14" s="33" t="n">
        <v>46307.3125</v>
      </c>
      <c r="H14" s="33" t="n">
        <v>46307.5</v>
      </c>
      <c r="I14" s="30" t="inlineStr">
        <is>
          <t>Finished</t>
        </is>
      </c>
      <c r="J14" s="32" t="n">
        <v>4.5</v>
      </c>
      <c r="K14" s="30" t="inlineStr"/>
    </row>
    <row r="15">
      <c r="A15" s="30" t="inlineStr">
        <is>
          <t>ASN-0012-B</t>
        </is>
      </c>
      <c r="B15" s="30" t="inlineStr">
        <is>
          <t>WO-2026-0012</t>
        </is>
      </c>
      <c r="C15" s="30" t="inlineStr">
        <is>
          <t>TECH-004</t>
        </is>
      </c>
      <c r="D15" s="30" t="inlineStr">
        <is>
          <t>Assistant</t>
        </is>
      </c>
      <c r="E15" s="33" t="n">
        <v>46307.31597222222</v>
      </c>
      <c r="F15" s="33" t="n">
        <v>46307.3125</v>
      </c>
      <c r="G15" s="33" t="n">
        <v>46307.3125</v>
      </c>
      <c r="H15" s="33" t="n">
        <v>46307.5</v>
      </c>
      <c r="I15" s="30" t="inlineStr">
        <is>
          <t>Finished</t>
        </is>
      </c>
      <c r="J15" s="32" t="n">
        <v>2.25</v>
      </c>
      <c r="K15" s="30" t="inlineStr">
        <is>
          <t>ช่วยตรวจระบบไฟ/ควบคุม</t>
        </is>
      </c>
    </row>
    <row r="16">
      <c r="A16" s="30" t="inlineStr">
        <is>
          <t>ASN-0014</t>
        </is>
      </c>
      <c r="B16" s="30" t="inlineStr">
        <is>
          <t>WO-2026-0014</t>
        </is>
      </c>
      <c r="C16" s="30" t="inlineStr">
        <is>
          <t>TECH-001</t>
        </is>
      </c>
      <c r="D16" s="30" t="inlineStr">
        <is>
          <t>Lead</t>
        </is>
      </c>
      <c r="E16" s="33" t="n">
        <v>46318.32638888889</v>
      </c>
      <c r="F16" s="33" t="inlineStr"/>
      <c r="G16" s="33" t="inlineStr"/>
      <c r="H16" s="33" t="inlineStr"/>
      <c r="I16" s="30" t="inlineStr">
        <is>
          <t>Assigned</t>
        </is>
      </c>
      <c r="J16" s="32" t="n">
        <v>0</v>
      </c>
      <c r="K16" s="30" t="inlineStr">
        <is>
          <t>นัดตรวจช่วงพักสายการผลิต</t>
        </is>
      </c>
    </row>
    <row r="17">
      <c r="A17" s="30" t="inlineStr">
        <is>
          <t>ASN-0015</t>
        </is>
      </c>
      <c r="B17" s="30" t="inlineStr">
        <is>
          <t>WO-2026-0015</t>
        </is>
      </c>
      <c r="C17" s="30" t="inlineStr">
        <is>
          <t>TECH-001</t>
        </is>
      </c>
      <c r="D17" s="30" t="inlineStr">
        <is>
          <t>Lead</t>
        </is>
      </c>
      <c r="E17" s="33" t="n">
        <v>46317.77083333334</v>
      </c>
      <c r="F17" s="33" t="n">
        <v>46317.78125</v>
      </c>
      <c r="G17" s="33" t="n">
        <v>46317.79166666666</v>
      </c>
      <c r="H17" s="33" t="inlineStr"/>
      <c r="I17" s="30" t="inlineStr">
        <is>
          <t>Working</t>
        </is>
      </c>
      <c r="J17" s="32" t="n">
        <v>17</v>
      </c>
      <c r="K17" s="30" t="inlineStr">
        <is>
          <t>กำลังดำเนินการ</t>
        </is>
      </c>
    </row>
    <row r="18">
      <c r="A18" s="30" t="inlineStr">
        <is>
          <t>ASN-0016</t>
        </is>
      </c>
      <c r="B18" s="30" t="inlineStr">
        <is>
          <t>WO-2026-0016</t>
        </is>
      </c>
      <c r="C18" s="30" t="inlineStr">
        <is>
          <t>TECH-002</t>
        </is>
      </c>
      <c r="D18" s="30" t="inlineStr">
        <is>
          <t>Lead</t>
        </is>
      </c>
      <c r="E18" s="33" t="n">
        <v>46317.42361111111</v>
      </c>
      <c r="F18" s="33" t="n">
        <v>46317.43402777778</v>
      </c>
      <c r="G18" s="33" t="n">
        <v>46317.44444444445</v>
      </c>
      <c r="H18" s="33" t="inlineStr"/>
      <c r="I18" s="30" t="inlineStr">
        <is>
          <t>Paused</t>
        </is>
      </c>
      <c r="J18" s="32" t="n">
        <v>25.33</v>
      </c>
      <c r="K18" s="30" t="inlineStr">
        <is>
          <t>อะไหล่กำหนดถึง 24 ต.ค.</t>
        </is>
      </c>
    </row>
  </sheetData>
  <autoFilter ref="A1:K18"/>
  <dataValidations count="2">
    <dataValidation sqref="D2:D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=AssignmentRoleList</formula1>
    </dataValidation>
    <dataValidation sqref="I2:I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=AssignmentStatusList</formula1>
    </dataValidation>
  </dataValidations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FDBA74"/>
    <outlinePr summaryBelow="1" summaryRight="1"/>
    <pageSetUpPr fitToPage="1"/>
  </sheetPr>
  <dimension ref="A1:T1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34" customWidth="1" min="10" max="10"/>
    <col width="40" customWidth="1" min="11" max="11"/>
    <col width="18" customWidth="1" min="12" max="12"/>
    <col width="16" customWidth="1" min="13" max="13"/>
    <col width="20" customWidth="1" min="14" max="14"/>
    <col width="14" customWidth="1" min="15" max="15"/>
    <col width="14" customWidth="1" min="16" max="16"/>
    <col width="14" customWidth="1" min="17" max="17"/>
    <col width="28" customWidth="1" min="18" max="18"/>
    <col width="20" customWidth="1" min="19" max="19"/>
    <col width="28" customWidth="1" min="20" max="20"/>
  </cols>
  <sheetData>
    <row r="1" ht="32" customHeight="1">
      <c r="A1" s="29" t="inlineStr">
        <is>
          <t>RepairHistoryID</t>
        </is>
      </c>
      <c r="B1" s="29" t="inlineStr">
        <is>
          <t>WorkOrderID</t>
        </is>
      </c>
      <c r="C1" s="29" t="inlineStr">
        <is>
          <t>MachineID</t>
        </is>
      </c>
      <c r="D1" s="29" t="inlineStr">
        <is>
          <t>TechnicianID</t>
        </is>
      </c>
      <c r="E1" s="29" t="inlineStr">
        <is>
          <t>FailureStart</t>
        </is>
      </c>
      <c r="F1" s="29" t="inlineStr">
        <is>
          <t>RepairStart</t>
        </is>
      </c>
      <c r="G1" s="29" t="inlineStr">
        <is>
          <t>RepairEnd</t>
        </is>
      </c>
      <c r="H1" s="29" t="inlineStr">
        <is>
          <t>ReturnedToService</t>
        </is>
      </c>
      <c r="I1" s="29" t="inlineStr">
        <is>
          <t>FailureMode</t>
        </is>
      </c>
      <c r="J1" s="29" t="inlineStr">
        <is>
          <t>RootCause</t>
        </is>
      </c>
      <c r="K1" s="29" t="inlineStr">
        <is>
          <t>RepairAction</t>
        </is>
      </c>
      <c r="L1" s="29" t="inlineStr">
        <is>
          <t>DowntimeMinutes</t>
        </is>
      </c>
      <c r="M1" s="29" t="inlineStr">
        <is>
          <t>RepairMinutes</t>
        </is>
      </c>
      <c r="N1" s="29" t="inlineStr">
        <is>
          <t>FailureIntervalHours</t>
        </is>
      </c>
      <c r="O1" s="29" t="inlineStr">
        <is>
          <t>LaborCost</t>
        </is>
      </c>
      <c r="P1" s="29" t="inlineStr">
        <is>
          <t>PartsCost</t>
        </is>
      </c>
      <c r="Q1" s="29" t="inlineStr">
        <is>
          <t>TotalCost</t>
        </is>
      </c>
      <c r="R1" s="29" t="inlineStr">
        <is>
          <t>ClosedByEmail</t>
        </is>
      </c>
      <c r="S1" s="29" t="inlineStr">
        <is>
          <t>ClosedAt</t>
        </is>
      </c>
      <c r="T1" s="29" t="inlineStr">
        <is>
          <t>Notes</t>
        </is>
      </c>
    </row>
    <row r="2">
      <c r="A2" s="30" t="inlineStr">
        <is>
          <t>RH-0001</t>
        </is>
      </c>
      <c r="B2" s="30" t="inlineStr">
        <is>
          <t>WO-2026-0001</t>
        </is>
      </c>
      <c r="C2" s="30" t="inlineStr">
        <is>
          <t>MCH-001</t>
        </is>
      </c>
      <c r="D2" s="30" t="inlineStr">
        <is>
          <t>TECH-001</t>
        </is>
      </c>
      <c r="E2" s="33" t="n">
        <v>46152.33333333334</v>
      </c>
      <c r="F2" s="33" t="n">
        <v>46152.35416666666</v>
      </c>
      <c r="G2" s="33" t="n">
        <v>46152.47916666666</v>
      </c>
      <c r="H2" s="33" t="n">
        <v>46152.47916666666</v>
      </c>
      <c r="I2" s="30" t="inlineStr">
        <is>
          <t>Bearing wear</t>
        </is>
      </c>
      <c r="J2" s="30" t="inlineStr">
        <is>
          <t>ลูกปืนเพลาสึกจากการหล่อลื่นไม่เพียงพอ</t>
        </is>
      </c>
      <c r="K2" s="30" t="inlineStr">
        <is>
          <t>เปลี่ยนลูกปืน ตั้งศูนย์เพลา และเติมจาระบี</t>
        </is>
      </c>
      <c r="L2" s="32" t="n">
        <v>210</v>
      </c>
      <c r="M2" s="32" t="n">
        <v>180</v>
      </c>
      <c r="N2" s="32" t="inlineStr"/>
      <c r="O2" s="32" t="n">
        <v>1050</v>
      </c>
      <c r="P2" s="32" t="n">
        <v>640</v>
      </c>
      <c r="Q2" s="32" t="n">
        <v>1690</v>
      </c>
      <c r="R2" s="30" t="inlineStr">
        <is>
          <t>kitti@example.com</t>
        </is>
      </c>
      <c r="S2" s="33" t="n">
        <v>46152.52083333334</v>
      </c>
      <c r="T2" s="30" t="inlineStr">
        <is>
          <t>ข้อมูลตัวอย่าง</t>
        </is>
      </c>
    </row>
    <row r="3">
      <c r="A3" s="30" t="inlineStr">
        <is>
          <t>RH-0002</t>
        </is>
      </c>
      <c r="B3" s="30" t="inlineStr">
        <is>
          <t>WO-2026-0002</t>
        </is>
      </c>
      <c r="C3" s="30" t="inlineStr">
        <is>
          <t>MCH-002</t>
        </is>
      </c>
      <c r="D3" s="30" t="inlineStr">
        <is>
          <t>TECH-001</t>
        </is>
      </c>
      <c r="E3" s="33" t="n">
        <v>46160.58333333334</v>
      </c>
      <c r="F3" s="33" t="n">
        <v>46160.60416666666</v>
      </c>
      <c r="G3" s="33" t="n">
        <v>46160.66666666666</v>
      </c>
      <c r="H3" s="33" t="n">
        <v>46160.66666666666</v>
      </c>
      <c r="I3" s="30" t="inlineStr">
        <is>
          <t>Belt misalignment</t>
        </is>
      </c>
      <c r="J3" s="30" t="inlineStr">
        <is>
          <t>ลูกกลิ้งนำสายพานคลายตัว</t>
        </is>
      </c>
      <c r="K3" s="30" t="inlineStr">
        <is>
          <t>ตั้งแนวลูกกลิ้งและปรับความตึงสายพาน</t>
        </is>
      </c>
      <c r="L3" s="32" t="n">
        <v>120</v>
      </c>
      <c r="M3" s="32" t="n">
        <v>90</v>
      </c>
      <c r="N3" s="32" t="inlineStr"/>
      <c r="O3" s="32" t="n">
        <v>525</v>
      </c>
      <c r="P3" s="32" t="n">
        <v>380</v>
      </c>
      <c r="Q3" s="32" t="n">
        <v>905</v>
      </c>
      <c r="R3" s="30" t="inlineStr">
        <is>
          <t>kitti@example.com</t>
        </is>
      </c>
      <c r="S3" s="33" t="n">
        <v>46160.70833333334</v>
      </c>
      <c r="T3" s="30" t="inlineStr">
        <is>
          <t>ข้อมูลตัวอย่าง</t>
        </is>
      </c>
    </row>
    <row r="4">
      <c r="A4" s="30" t="inlineStr">
        <is>
          <t>RH-0003</t>
        </is>
      </c>
      <c r="B4" s="30" t="inlineStr">
        <is>
          <t>WO-2026-0003</t>
        </is>
      </c>
      <c r="C4" s="30" t="inlineStr">
        <is>
          <t>MCH-003</t>
        </is>
      </c>
      <c r="D4" s="30" t="inlineStr">
        <is>
          <t>TECH-003</t>
        </is>
      </c>
      <c r="E4" s="33" t="n">
        <v>46175.3125</v>
      </c>
      <c r="F4" s="33" t="n">
        <v>46175.33333333334</v>
      </c>
      <c r="G4" s="33" t="n">
        <v>46175.5</v>
      </c>
      <c r="H4" s="33" t="n">
        <v>46175.52083333334</v>
      </c>
      <c r="I4" s="30" t="inlineStr">
        <is>
          <t>Air valve leak</t>
        </is>
      </c>
      <c r="J4" s="30" t="inlineStr">
        <is>
          <t>โซลินอยด์วาล์วรั่วภายใน</t>
        </is>
      </c>
      <c r="K4" s="30" t="inlineStr">
        <is>
          <t>เปลี่ยนวาล์วและทดสอบการรั่ว</t>
        </is>
      </c>
      <c r="L4" s="32" t="n">
        <v>300</v>
      </c>
      <c r="M4" s="32" t="n">
        <v>240</v>
      </c>
      <c r="N4" s="32" t="inlineStr"/>
      <c r="O4" s="32" t="n">
        <v>1440</v>
      </c>
      <c r="P4" s="32" t="n">
        <v>1250</v>
      </c>
      <c r="Q4" s="32" t="n">
        <v>2690</v>
      </c>
      <c r="R4" s="30" t="inlineStr">
        <is>
          <t>kitti@example.com</t>
        </is>
      </c>
      <c r="S4" s="33" t="n">
        <v>46175.54166666666</v>
      </c>
      <c r="T4" s="30" t="inlineStr">
        <is>
          <t>ข้อมูลตัวอย่าง</t>
        </is>
      </c>
    </row>
    <row r="5">
      <c r="A5" s="30" t="inlineStr">
        <is>
          <t>RH-0004</t>
        </is>
      </c>
      <c r="B5" s="30" t="inlineStr">
        <is>
          <t>WO-2026-0004</t>
        </is>
      </c>
      <c r="C5" s="30" t="inlineStr">
        <is>
          <t>MCH-004</t>
        </is>
      </c>
      <c r="D5" s="30" t="inlineStr">
        <is>
          <t>TECH-002</t>
        </is>
      </c>
      <c r="E5" s="33" t="n">
        <v>46193.41666666666</v>
      </c>
      <c r="F5" s="33" t="n">
        <v>46193.4375</v>
      </c>
      <c r="G5" s="33" t="n">
        <v>46193.52083333334</v>
      </c>
      <c r="H5" s="33" t="n">
        <v>46193.52083333334</v>
      </c>
      <c r="I5" s="30" t="inlineStr">
        <is>
          <t>Heater circuit open</t>
        </is>
      </c>
      <c r="J5" s="30" t="inlineStr">
        <is>
          <t>ฟิวส์ฮีตเตอร์ขาดจากขั้วต่อหลวม</t>
        </is>
      </c>
      <c r="K5" s="30" t="inlineStr">
        <is>
          <t>เปลี่ยนฟิวส์และขันขั้วต่อ</t>
        </is>
      </c>
      <c r="L5" s="32" t="n">
        <v>150</v>
      </c>
      <c r="M5" s="32" t="n">
        <v>120</v>
      </c>
      <c r="N5" s="32" t="inlineStr"/>
      <c r="O5" s="32" t="n">
        <v>760</v>
      </c>
      <c r="P5" s="32" t="n">
        <v>70</v>
      </c>
      <c r="Q5" s="32" t="n">
        <v>830</v>
      </c>
      <c r="R5" s="30" t="inlineStr">
        <is>
          <t>kitti@example.com</t>
        </is>
      </c>
      <c r="S5" s="33" t="n">
        <v>46193.5625</v>
      </c>
      <c r="T5" s="30" t="inlineStr">
        <is>
          <t>ข้อมูลตัวอย่าง</t>
        </is>
      </c>
    </row>
    <row r="6">
      <c r="A6" s="30" t="inlineStr">
        <is>
          <t>RH-0005</t>
        </is>
      </c>
      <c r="B6" s="30" t="inlineStr">
        <is>
          <t>WO-2026-0005</t>
        </is>
      </c>
      <c r="C6" s="30" t="inlineStr">
        <is>
          <t>MCH-001</t>
        </is>
      </c>
      <c r="D6" s="30" t="inlineStr">
        <is>
          <t>TECH-002</t>
        </is>
      </c>
      <c r="E6" s="33" t="n">
        <v>46204.375</v>
      </c>
      <c r="F6" s="33" t="n">
        <v>46204.39583333334</v>
      </c>
      <c r="G6" s="33" t="n">
        <v>46204.5</v>
      </c>
      <c r="H6" s="33" t="n">
        <v>46204.5</v>
      </c>
      <c r="I6" s="30" t="inlineStr">
        <is>
          <t>Hydraulic leak</t>
        </is>
      </c>
      <c r="J6" s="30" t="inlineStr">
        <is>
          <t>โอริงวาล์วเสื่อมจากความร้อน</t>
        </is>
      </c>
      <c r="K6" s="30" t="inlineStr">
        <is>
          <t>เปลี่ยนซีล ทำความสะอาด และเติมน้ำมัน</t>
        </is>
      </c>
      <c r="L6" s="32" t="n">
        <v>180</v>
      </c>
      <c r="M6" s="32" t="n">
        <v>150</v>
      </c>
      <c r="N6" s="32" t="n">
        <v>1245.5</v>
      </c>
      <c r="O6" s="32" t="n">
        <v>950</v>
      </c>
      <c r="P6" s="32" t="n">
        <v>475</v>
      </c>
      <c r="Q6" s="32" t="n">
        <v>1425</v>
      </c>
      <c r="R6" s="30" t="inlineStr">
        <is>
          <t>kitti@example.com</t>
        </is>
      </c>
      <c r="S6" s="33" t="n">
        <v>46204.54166666666</v>
      </c>
      <c r="T6" s="30" t="inlineStr">
        <is>
          <t>ข้อมูลตัวอย่าง</t>
        </is>
      </c>
    </row>
    <row r="7">
      <c r="A7" s="30" t="inlineStr">
        <is>
          <t>RH-0006</t>
        </is>
      </c>
      <c r="B7" s="30" t="inlineStr">
        <is>
          <t>WO-2026-0006</t>
        </is>
      </c>
      <c r="C7" s="30" t="inlineStr">
        <is>
          <t>MCH-005</t>
        </is>
      </c>
      <c r="D7" s="30" t="inlineStr">
        <is>
          <t>TECH-001</t>
        </is>
      </c>
      <c r="E7" s="33" t="n">
        <v>46218.54166666666</v>
      </c>
      <c r="F7" s="33" t="n">
        <v>46218.5625</v>
      </c>
      <c r="G7" s="33" t="n">
        <v>46218.70833333334</v>
      </c>
      <c r="H7" s="33" t="n">
        <v>46218.70833333334</v>
      </c>
      <c r="I7" s="30" t="inlineStr">
        <is>
          <t>Seal degradation</t>
        </is>
      </c>
      <c r="J7" s="30" t="inlineStr">
        <is>
          <t>Mechanical seal เสื่อมและเพลาเยื้องศูนย์</t>
        </is>
      </c>
      <c r="K7" s="30" t="inlineStr">
        <is>
          <t>เปลี่ยนซีลและตั้งศูนย์เพลา</t>
        </is>
      </c>
      <c r="L7" s="32" t="n">
        <v>240</v>
      </c>
      <c r="M7" s="32" t="n">
        <v>210</v>
      </c>
      <c r="N7" s="32" t="inlineStr"/>
      <c r="O7" s="32" t="n">
        <v>1225</v>
      </c>
      <c r="P7" s="32" t="n">
        <v>2250</v>
      </c>
      <c r="Q7" s="32" t="n">
        <v>3475</v>
      </c>
      <c r="R7" s="30" t="inlineStr">
        <is>
          <t>kitti@example.com</t>
        </is>
      </c>
      <c r="S7" s="33" t="n">
        <v>46218.75</v>
      </c>
      <c r="T7" s="30" t="inlineStr">
        <is>
          <t>ข้อมูลตัวอย่าง</t>
        </is>
      </c>
    </row>
    <row r="8">
      <c r="A8" s="30" t="inlineStr">
        <is>
          <t>RH-0007</t>
        </is>
      </c>
      <c r="B8" s="30" t="inlineStr">
        <is>
          <t>WO-2026-0007</t>
        </is>
      </c>
      <c r="C8" s="30" t="inlineStr">
        <is>
          <t>MCH-002</t>
        </is>
      </c>
      <c r="D8" s="30" t="inlineStr">
        <is>
          <t>TECH-004</t>
        </is>
      </c>
      <c r="E8" s="33" t="n">
        <v>46237.35416666666</v>
      </c>
      <c r="F8" s="33" t="n">
        <v>46237.375</v>
      </c>
      <c r="G8" s="33" t="n">
        <v>46237.42708333334</v>
      </c>
      <c r="H8" s="33" t="n">
        <v>46237.42708333334</v>
      </c>
      <c r="I8" s="30" t="inlineStr">
        <is>
          <t>Sensor drift</t>
        </is>
      </c>
      <c r="J8" s="30" t="inlineStr">
        <is>
          <t>หน้าสัมผัสเซนเซอร์สกปรกและระยะคลาดเคลื่อน</t>
        </is>
      </c>
      <c r="K8" s="30" t="inlineStr">
        <is>
          <t>เปลี่ยนเซนเซอร์และตั้งระยะ</t>
        </is>
      </c>
      <c r="L8" s="32" t="n">
        <v>0</v>
      </c>
      <c r="M8" s="32" t="n">
        <v>75</v>
      </c>
      <c r="N8" s="32" t="n">
        <v>1840.5</v>
      </c>
      <c r="O8" s="32" t="n">
        <v>525</v>
      </c>
      <c r="P8" s="32" t="n">
        <v>890</v>
      </c>
      <c r="Q8" s="32" t="n">
        <v>1415</v>
      </c>
      <c r="R8" s="30" t="inlineStr">
        <is>
          <t>kitti@example.com</t>
        </is>
      </c>
      <c r="S8" s="33" t="n">
        <v>46237.46875</v>
      </c>
      <c r="T8" s="30" t="inlineStr">
        <is>
          <t>ข้อมูลตัวอย่าง</t>
        </is>
      </c>
    </row>
    <row r="9">
      <c r="A9" s="30" t="inlineStr">
        <is>
          <t>RH-0008</t>
        </is>
      </c>
      <c r="B9" s="30" t="inlineStr">
        <is>
          <t>WO-2026-0008</t>
        </is>
      </c>
      <c r="C9" s="30" t="inlineStr">
        <is>
          <t>MCH-003</t>
        </is>
      </c>
      <c r="D9" s="30" t="inlineStr">
        <is>
          <t>TECH-003</t>
        </is>
      </c>
      <c r="E9" s="33" t="n">
        <v>46251.28125</v>
      </c>
      <c r="F9" s="33" t="n">
        <v>46251.30208333334</v>
      </c>
      <c r="G9" s="33" t="n">
        <v>46251.42708333334</v>
      </c>
      <c r="H9" s="33" t="n">
        <v>46251.42708333334</v>
      </c>
      <c r="I9" s="30" t="inlineStr">
        <is>
          <t>Filter restriction</t>
        </is>
      </c>
      <c r="J9" s="30" t="inlineStr">
        <is>
          <t>ไส้กรองอากาศอุดตัน</t>
        </is>
      </c>
      <c r="K9" s="30" t="inlineStr">
        <is>
          <t>เปลี่ยนไส้กรองและทำความสะอาดทางลม</t>
        </is>
      </c>
      <c r="L9" s="32" t="n">
        <v>210</v>
      </c>
      <c r="M9" s="32" t="n">
        <v>180</v>
      </c>
      <c r="N9" s="32" t="n">
        <v>1818.25</v>
      </c>
      <c r="O9" s="32" t="n">
        <v>1080</v>
      </c>
      <c r="P9" s="32" t="n">
        <v>650</v>
      </c>
      <c r="Q9" s="32" t="n">
        <v>1730</v>
      </c>
      <c r="R9" s="30" t="inlineStr">
        <is>
          <t>kitti@example.com</t>
        </is>
      </c>
      <c r="S9" s="33" t="n">
        <v>46251.46875</v>
      </c>
      <c r="T9" s="30" t="inlineStr">
        <is>
          <t>ข้อมูลตัวอย่าง</t>
        </is>
      </c>
    </row>
    <row r="10">
      <c r="A10" s="30" t="inlineStr">
        <is>
          <t>RH-0009</t>
        </is>
      </c>
      <c r="B10" s="30" t="inlineStr">
        <is>
          <t>WO-2026-0009</t>
        </is>
      </c>
      <c r="C10" s="30" t="inlineStr">
        <is>
          <t>MCH-001</t>
        </is>
      </c>
      <c r="D10" s="30" t="inlineStr">
        <is>
          <t>TECH-001</t>
        </is>
      </c>
      <c r="E10" s="33" t="n">
        <v>46270.625</v>
      </c>
      <c r="F10" s="33" t="n">
        <v>46270.64583333334</v>
      </c>
      <c r="G10" s="33" t="n">
        <v>46270.85416666666</v>
      </c>
      <c r="H10" s="33" t="n">
        <v>46270.875</v>
      </c>
      <c r="I10" s="30" t="inlineStr">
        <is>
          <t>Pump efficiency loss</t>
        </is>
      </c>
      <c r="J10" s="30" t="inlineStr">
        <is>
          <t>น้ำมันเสื่อมและมีสิ่งปนเปื้อนในระบบ</t>
        </is>
      </c>
      <c r="K10" s="30" t="inlineStr">
        <is>
          <t>ถ่ายน้ำมัน ล้างระบบ และปรับแรงดัน</t>
        </is>
      </c>
      <c r="L10" s="32" t="n">
        <v>360</v>
      </c>
      <c r="M10" s="32" t="n">
        <v>300</v>
      </c>
      <c r="N10" s="32" t="n">
        <v>1587</v>
      </c>
      <c r="O10" s="32" t="n">
        <v>1750</v>
      </c>
      <c r="P10" s="32" t="n">
        <v>1900</v>
      </c>
      <c r="Q10" s="32" t="n">
        <v>3650</v>
      </c>
      <c r="R10" s="30" t="inlineStr">
        <is>
          <t>kitti@example.com</t>
        </is>
      </c>
      <c r="S10" s="33" t="n">
        <v>46270.89583333334</v>
      </c>
      <c r="T10" s="30" t="inlineStr">
        <is>
          <t>ข้อมูลตัวอย่าง</t>
        </is>
      </c>
    </row>
    <row r="11">
      <c r="A11" s="30" t="inlineStr">
        <is>
          <t>RH-0010</t>
        </is>
      </c>
      <c r="B11" s="30" t="inlineStr">
        <is>
          <t>WO-2026-0010</t>
        </is>
      </c>
      <c r="C11" s="30" t="inlineStr">
        <is>
          <t>MCH-004</t>
        </is>
      </c>
      <c r="D11" s="30" t="inlineStr">
        <is>
          <t>TECH-004</t>
        </is>
      </c>
      <c r="E11" s="33" t="n">
        <v>46287.46875</v>
      </c>
      <c r="F11" s="33" t="n">
        <v>46287.48958333334</v>
      </c>
      <c r="G11" s="33" t="n">
        <v>46287.5625</v>
      </c>
      <c r="H11" s="33" t="n">
        <v>46287.5625</v>
      </c>
      <c r="I11" s="30" t="inlineStr">
        <is>
          <t>Temperature control drift</t>
        </is>
      </c>
      <c r="J11" s="30" t="inlineStr">
        <is>
          <t>เซนเซอร์วัดตำแหน่งตอบสนองช้า</t>
        </is>
      </c>
      <c r="K11" s="30" t="inlineStr">
        <is>
          <t>เปลี่ยนเซนเซอร์และปรับเทียบชุดควบคุม</t>
        </is>
      </c>
      <c r="L11" s="32" t="n">
        <v>0</v>
      </c>
      <c r="M11" s="32" t="n">
        <v>105</v>
      </c>
      <c r="N11" s="32" t="n">
        <v>2254.75</v>
      </c>
      <c r="O11" s="32" t="n">
        <v>735</v>
      </c>
      <c r="P11" s="32" t="n">
        <v>890</v>
      </c>
      <c r="Q11" s="32" t="n">
        <v>1625</v>
      </c>
      <c r="R11" s="30" t="inlineStr">
        <is>
          <t>kitti@example.com</t>
        </is>
      </c>
      <c r="S11" s="33" t="n">
        <v>46287.60416666666</v>
      </c>
      <c r="T11" s="30" t="inlineStr">
        <is>
          <t>ข้อมูลตัวอย่าง</t>
        </is>
      </c>
    </row>
    <row r="12">
      <c r="A12" s="30" t="inlineStr">
        <is>
          <t>RH-0011</t>
        </is>
      </c>
      <c r="B12" s="30" t="inlineStr">
        <is>
          <t>WO-2026-0011</t>
        </is>
      </c>
      <c r="C12" s="30" t="inlineStr">
        <is>
          <t>MCH-002</t>
        </is>
      </c>
      <c r="D12" s="30" t="inlineStr">
        <is>
          <t>TECH-001</t>
        </is>
      </c>
      <c r="E12" s="33" t="n">
        <v>46299.33333333334</v>
      </c>
      <c r="F12" s="33" t="n">
        <v>46299.35416666666</v>
      </c>
      <c r="G12" s="33" t="n">
        <v>46299.4375</v>
      </c>
      <c r="H12" s="33" t="n">
        <v>46299.4375</v>
      </c>
      <c r="I12" s="30" t="inlineStr">
        <is>
          <t>Belt fatigue</t>
        </is>
      </c>
      <c r="J12" s="30" t="inlineStr">
        <is>
          <t>สายพานครบอายุและความตึงไม่สม่ำเสมอ</t>
        </is>
      </c>
      <c r="K12" s="30" t="inlineStr">
        <is>
          <t>เปลี่ยนสายพานและตั้งความตึง</t>
        </is>
      </c>
      <c r="L12" s="32" t="n">
        <v>150</v>
      </c>
      <c r="M12" s="32" t="n">
        <v>120</v>
      </c>
      <c r="N12" s="32" t="n">
        <v>1485.75</v>
      </c>
      <c r="O12" s="32" t="n">
        <v>700</v>
      </c>
      <c r="P12" s="32" t="n">
        <v>380</v>
      </c>
      <c r="Q12" s="32" t="n">
        <v>1080</v>
      </c>
      <c r="R12" s="30" t="inlineStr">
        <is>
          <t>kitti@example.com</t>
        </is>
      </c>
      <c r="S12" s="33" t="n">
        <v>46299.47916666666</v>
      </c>
      <c r="T12" s="30" t="inlineStr">
        <is>
          <t>ข้อมูลตัวอย่าง</t>
        </is>
      </c>
    </row>
    <row r="13">
      <c r="A13" s="30" t="inlineStr">
        <is>
          <t>RH-0012</t>
        </is>
      </c>
      <c r="B13" s="30" t="inlineStr">
        <is>
          <t>WO-2026-0012</t>
        </is>
      </c>
      <c r="C13" s="30" t="inlineStr">
        <is>
          <t>MCH-003</t>
        </is>
      </c>
      <c r="D13" s="30" t="inlineStr">
        <is>
          <t>TECH-003</t>
        </is>
      </c>
      <c r="E13" s="33" t="n">
        <v>46307.29166666666</v>
      </c>
      <c r="F13" s="33" t="n">
        <v>46307.3125</v>
      </c>
      <c r="G13" s="33" t="n">
        <v>46307.5</v>
      </c>
      <c r="H13" s="33" t="n">
        <v>46307.52083333334</v>
      </c>
      <c r="I13" s="30" t="inlineStr">
        <is>
          <t>Solenoid failure</t>
        </is>
      </c>
      <c r="J13" s="30" t="inlineStr">
        <is>
          <t>ขดลวดโซลินอยด์ไหม้จากแรงดันไฟเกิน</t>
        </is>
      </c>
      <c r="K13" s="30" t="inlineStr">
        <is>
          <t>เปลี่ยนโซลินอยด์และตรวจระบบไฟ</t>
        </is>
      </c>
      <c r="L13" s="32" t="n">
        <v>330</v>
      </c>
      <c r="M13" s="32" t="n">
        <v>270</v>
      </c>
      <c r="N13" s="32" t="n">
        <v>1340.75</v>
      </c>
      <c r="O13" s="32" t="n">
        <v>1620</v>
      </c>
      <c r="P13" s="32" t="n">
        <v>1285</v>
      </c>
      <c r="Q13" s="32" t="n">
        <v>2905</v>
      </c>
      <c r="R13" s="30" t="inlineStr">
        <is>
          <t>kitti@example.com</t>
        </is>
      </c>
      <c r="S13" s="33" t="n">
        <v>46307.54166666666</v>
      </c>
      <c r="T13" s="30" t="inlineStr">
        <is>
          <t>ข้อมูลตัวอย่าง</t>
        </is>
      </c>
    </row>
  </sheetData>
  <autoFilter ref="A1:T13"/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FDE68A"/>
    <outlinePr summaryBelow="1" summaryRight="1"/>
    <pageSetUpPr fitToPage="1"/>
  </sheetPr>
  <dimension ref="A1:L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6" customWidth="1" min="4" max="4"/>
    <col width="11" customWidth="1" min="5" max="5"/>
    <col width="12" customWidth="1" min="6" max="6"/>
    <col width="14" customWidth="1" min="7" max="7"/>
    <col width="14" customWidth="1" min="8" max="8"/>
    <col width="22" customWidth="1" min="9" max="9"/>
    <col width="18" customWidth="1" min="10" max="10"/>
    <col width="10" customWidth="1" min="11" max="11"/>
    <col width="30" customWidth="1" min="12" max="12"/>
  </cols>
  <sheetData>
    <row r="1" ht="32" customHeight="1">
      <c r="A1" s="29" t="inlineStr">
        <is>
          <t>PartID</t>
        </is>
      </c>
      <c r="B1" s="29" t="inlineStr">
        <is>
          <t>PartCode</t>
        </is>
      </c>
      <c r="C1" s="29" t="inlineStr">
        <is>
          <t>PartNameTH</t>
        </is>
      </c>
      <c r="D1" s="29" t="inlineStr">
        <is>
          <t>Category</t>
        </is>
      </c>
      <c r="E1" s="29" t="inlineStr">
        <is>
          <t>Unit</t>
        </is>
      </c>
      <c r="F1" s="29" t="inlineStr">
        <is>
          <t>StockQty</t>
        </is>
      </c>
      <c r="G1" s="29" t="inlineStr">
        <is>
          <t>ReorderPoint</t>
        </is>
      </c>
      <c r="H1" s="29" t="inlineStr">
        <is>
          <t>UnitCost</t>
        </is>
      </c>
      <c r="I1" s="29" t="inlineStr">
        <is>
          <t>Supplier</t>
        </is>
      </c>
      <c r="J1" s="29" t="inlineStr">
        <is>
          <t>StorageLocation</t>
        </is>
      </c>
      <c r="K1" s="29" t="inlineStr">
        <is>
          <t>Active</t>
        </is>
      </c>
      <c r="L1" s="29" t="inlineStr">
        <is>
          <t>Notes</t>
        </is>
      </c>
    </row>
    <row r="2">
      <c r="A2" s="30" t="inlineStr">
        <is>
          <t>PRT-001</t>
        </is>
      </c>
      <c r="B2" s="30" t="inlineStr">
        <is>
          <t>BRG-6205</t>
        </is>
      </c>
      <c r="C2" s="30" t="inlineStr">
        <is>
          <t>ลูกปืน 6205</t>
        </is>
      </c>
      <c r="D2" s="30" t="inlineStr">
        <is>
          <t>Bearing</t>
        </is>
      </c>
      <c r="E2" s="30" t="inlineStr">
        <is>
          <t>ชิ้น</t>
        </is>
      </c>
      <c r="F2" s="32" t="n">
        <v>12</v>
      </c>
      <c r="G2" s="32" t="n">
        <v>4</v>
      </c>
      <c r="H2" s="32" t="n">
        <v>450</v>
      </c>
      <c r="I2" s="30" t="inlineStr">
        <is>
          <t>Bearing Center</t>
        </is>
      </c>
      <c r="J2" s="30" t="inlineStr">
        <is>
          <t>A-01</t>
        </is>
      </c>
      <c r="K2" s="30" t="b">
        <v>1</v>
      </c>
      <c r="L2" s="30" t="inlineStr"/>
    </row>
    <row r="3">
      <c r="A3" s="30" t="inlineStr">
        <is>
          <t>PRT-002</t>
        </is>
      </c>
      <c r="B3" s="30" t="inlineStr">
        <is>
          <t>BLT-A52</t>
        </is>
      </c>
      <c r="C3" s="30" t="inlineStr">
        <is>
          <t>สายพาน A52</t>
        </is>
      </c>
      <c r="D3" s="30" t="inlineStr">
        <is>
          <t>Belt</t>
        </is>
      </c>
      <c r="E3" s="30" t="inlineStr">
        <is>
          <t>เส้น</t>
        </is>
      </c>
      <c r="F3" s="32" t="n">
        <v>6</v>
      </c>
      <c r="G3" s="32" t="n">
        <v>2</v>
      </c>
      <c r="H3" s="32" t="n">
        <v>380</v>
      </c>
      <c r="I3" s="30" t="inlineStr">
        <is>
          <t>Belt Supply</t>
        </is>
      </c>
      <c r="J3" s="30" t="inlineStr">
        <is>
          <t>A-02</t>
        </is>
      </c>
      <c r="K3" s="30" t="b">
        <v>1</v>
      </c>
      <c r="L3" s="30" t="inlineStr"/>
    </row>
    <row r="4">
      <c r="A4" s="30" t="inlineStr">
        <is>
          <t>PRT-003</t>
        </is>
      </c>
      <c r="B4" s="30" t="inlineStr">
        <is>
          <t>SOL-24V</t>
        </is>
      </c>
      <c r="C4" s="30" t="inlineStr">
        <is>
          <t>โซลินอยด์วาล์ว 24V</t>
        </is>
      </c>
      <c r="D4" s="30" t="inlineStr">
        <is>
          <t>Valve</t>
        </is>
      </c>
      <c r="E4" s="30" t="inlineStr">
        <is>
          <t>ชิ้น</t>
        </is>
      </c>
      <c r="F4" s="32" t="n">
        <v>3</v>
      </c>
      <c r="G4" s="32" t="n">
        <v>2</v>
      </c>
      <c r="H4" s="32" t="n">
        <v>1250</v>
      </c>
      <c r="I4" s="30" t="inlineStr">
        <is>
          <t>Automation Shop</t>
        </is>
      </c>
      <c r="J4" s="30" t="inlineStr">
        <is>
          <t>B-01</t>
        </is>
      </c>
      <c r="K4" s="30" t="b">
        <v>1</v>
      </c>
      <c r="L4" s="30" t="inlineStr"/>
    </row>
    <row r="5">
      <c r="A5" s="30" t="inlineStr">
        <is>
          <t>PRT-004</t>
        </is>
      </c>
      <c r="B5" s="30" t="inlineStr">
        <is>
          <t>OIL-H68</t>
        </is>
      </c>
      <c r="C5" s="30" t="inlineStr">
        <is>
          <t>น้ำมันไฮดรอลิก ISO VG 68</t>
        </is>
      </c>
      <c r="D5" s="30" t="inlineStr">
        <is>
          <t>Lubricant</t>
        </is>
      </c>
      <c r="E5" s="30" t="inlineStr">
        <is>
          <t>ลิตร</t>
        </is>
      </c>
      <c r="F5" s="32" t="n">
        <v>80</v>
      </c>
      <c r="G5" s="32" t="n">
        <v>30</v>
      </c>
      <c r="H5" s="32" t="n">
        <v>95</v>
      </c>
      <c r="I5" s="30" t="inlineStr">
        <is>
          <t>Industrial Oil</t>
        </is>
      </c>
      <c r="J5" s="30" t="inlineStr">
        <is>
          <t>C-01</t>
        </is>
      </c>
      <c r="K5" s="30" t="b">
        <v>1</v>
      </c>
      <c r="L5" s="30" t="inlineStr"/>
    </row>
    <row r="6">
      <c r="A6" s="30" t="inlineStr">
        <is>
          <t>PRT-005</t>
        </is>
      </c>
      <c r="B6" s="30" t="inlineStr">
        <is>
          <t>SNS-PROX</t>
        </is>
      </c>
      <c r="C6" s="30" t="inlineStr">
        <is>
          <t>Proximity Sensor M18</t>
        </is>
      </c>
      <c r="D6" s="30" t="inlineStr">
        <is>
          <t>Sensor</t>
        </is>
      </c>
      <c r="E6" s="30" t="inlineStr">
        <is>
          <t>ชิ้น</t>
        </is>
      </c>
      <c r="F6" s="32" t="n">
        <v>5</v>
      </c>
      <c r="G6" s="32" t="n">
        <v>2</v>
      </c>
      <c r="H6" s="32" t="n">
        <v>890</v>
      </c>
      <c r="I6" s="30" t="inlineStr">
        <is>
          <t>Automation Shop</t>
        </is>
      </c>
      <c r="J6" s="30" t="inlineStr">
        <is>
          <t>B-02</t>
        </is>
      </c>
      <c r="K6" s="30" t="b">
        <v>1</v>
      </c>
      <c r="L6" s="30" t="inlineStr"/>
    </row>
    <row r="7">
      <c r="A7" s="30" t="inlineStr">
        <is>
          <t>PRT-006</t>
        </is>
      </c>
      <c r="B7" s="30" t="inlineStr">
        <is>
          <t>FUSE-10A</t>
        </is>
      </c>
      <c r="C7" s="30" t="inlineStr">
        <is>
          <t>ฟิวส์ 10A</t>
        </is>
      </c>
      <c r="D7" s="30" t="inlineStr">
        <is>
          <t>Electrical</t>
        </is>
      </c>
      <c r="E7" s="30" t="inlineStr">
        <is>
          <t>ชิ้น</t>
        </is>
      </c>
      <c r="F7" s="32" t="n">
        <v>30</v>
      </c>
      <c r="G7" s="32" t="n">
        <v>10</v>
      </c>
      <c r="H7" s="32" t="n">
        <v>35</v>
      </c>
      <c r="I7" s="30" t="inlineStr">
        <is>
          <t>Electrical Store</t>
        </is>
      </c>
      <c r="J7" s="30" t="inlineStr">
        <is>
          <t>D-01</t>
        </is>
      </c>
      <c r="K7" s="30" t="b">
        <v>1</v>
      </c>
      <c r="L7" s="30" t="inlineStr"/>
    </row>
    <row r="8">
      <c r="A8" s="30" t="inlineStr">
        <is>
          <t>PRT-007</t>
        </is>
      </c>
      <c r="B8" s="30" t="inlineStr">
        <is>
          <t>SEAL-40</t>
        </is>
      </c>
      <c r="C8" s="30" t="inlineStr">
        <is>
          <t>Mechanical Seal 40 mm</t>
        </is>
      </c>
      <c r="D8" s="30" t="inlineStr">
        <is>
          <t>Seal</t>
        </is>
      </c>
      <c r="E8" s="30" t="inlineStr">
        <is>
          <t>ชุด</t>
        </is>
      </c>
      <c r="F8" s="32" t="n">
        <v>1</v>
      </c>
      <c r="G8" s="32" t="n">
        <v>2</v>
      </c>
      <c r="H8" s="32" t="n">
        <v>1800</v>
      </c>
      <c r="I8" s="30" t="inlineStr">
        <is>
          <t>Pump Parts</t>
        </is>
      </c>
      <c r="J8" s="30" t="inlineStr">
        <is>
          <t>A-03</t>
        </is>
      </c>
      <c r="K8" s="30" t="b">
        <v>1</v>
      </c>
      <c r="L8" s="30" t="inlineStr">
        <is>
          <t>ต่ำกว่าจุดสั่งซื้อ</t>
        </is>
      </c>
    </row>
    <row r="9">
      <c r="A9" s="30" t="inlineStr">
        <is>
          <t>PRT-008</t>
        </is>
      </c>
      <c r="B9" s="30" t="inlineStr">
        <is>
          <t>FLT-AIR</t>
        </is>
      </c>
      <c r="C9" s="30" t="inlineStr">
        <is>
          <t>ไส้กรองอากาศ</t>
        </is>
      </c>
      <c r="D9" s="30" t="inlineStr">
        <is>
          <t>Filter</t>
        </is>
      </c>
      <c r="E9" s="30" t="inlineStr">
        <is>
          <t>ชิ้น</t>
        </is>
      </c>
      <c r="F9" s="32" t="n">
        <v>4</v>
      </c>
      <c r="G9" s="32" t="n">
        <v>2</v>
      </c>
      <c r="H9" s="32" t="n">
        <v>650</v>
      </c>
      <c r="I9" s="30" t="inlineStr">
        <is>
          <t>AirPro Service</t>
        </is>
      </c>
      <c r="J9" s="30" t="inlineStr">
        <is>
          <t>C-03</t>
        </is>
      </c>
      <c r="K9" s="30" t="b">
        <v>1</v>
      </c>
      <c r="L9" s="30" t="inlineStr"/>
    </row>
  </sheetData>
  <autoFilter ref="A1:L9"/>
  <conditionalFormatting sqref="F2:F2000">
    <cfRule type="expression" priority="1" dxfId="8">
      <formula>$F2&lt;=$G2</formula>
    </cfRule>
  </conditionalFormatting>
  <dataValidations count="3">
    <dataValidation sqref="D2:D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=PartCategoryList</formula1>
    </dataValidation>
    <dataValidation sqref="E2:E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=UnitList</formula1>
    </dataValidation>
    <dataValidation sqref="K2:K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=BooleanList</formula1>
    </dataValidation>
  </dataValidations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FCD34D"/>
    <outlinePr summaryBelow="1" summaryRight="1"/>
    <pageSetUpPr fitToPage="1"/>
  </sheetPr>
  <dimension ref="A1:I1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21" customWidth="1" min="7" max="7"/>
    <col width="20" customWidth="1" min="8" max="8"/>
    <col width="30" customWidth="1" min="9" max="9"/>
  </cols>
  <sheetData>
    <row r="1" ht="32" customHeight="1">
      <c r="A1" s="29" t="inlineStr">
        <is>
          <t>PartUsageID</t>
        </is>
      </c>
      <c r="B1" s="29" t="inlineStr">
        <is>
          <t>WorkOrderID</t>
        </is>
      </c>
      <c r="C1" s="29" t="inlineStr">
        <is>
          <t>PartID</t>
        </is>
      </c>
      <c r="D1" s="29" t="inlineStr">
        <is>
          <t>Quantity</t>
        </is>
      </c>
      <c r="E1" s="29" t="inlineStr">
        <is>
          <t>UnitCost</t>
        </is>
      </c>
      <c r="F1" s="29" t="inlineStr">
        <is>
          <t>LineTotal</t>
        </is>
      </c>
      <c r="G1" s="29" t="inlineStr">
        <is>
          <t>UsedByTechnicianID</t>
        </is>
      </c>
      <c r="H1" s="29" t="inlineStr">
        <is>
          <t>UsedAt</t>
        </is>
      </c>
      <c r="I1" s="29" t="inlineStr">
        <is>
          <t>Notes</t>
        </is>
      </c>
    </row>
    <row r="2">
      <c r="A2" s="30" t="inlineStr">
        <is>
          <t>USE-0001-1</t>
        </is>
      </c>
      <c r="B2" s="30" t="inlineStr">
        <is>
          <t>WO-2026-0001</t>
        </is>
      </c>
      <c r="C2" s="30" t="inlineStr">
        <is>
          <t>PRT-001</t>
        </is>
      </c>
      <c r="D2" s="32" t="n">
        <v>1</v>
      </c>
      <c r="E2" s="32" t="n">
        <v>450</v>
      </c>
      <c r="F2" s="32" t="n">
        <v>450</v>
      </c>
      <c r="G2" s="30" t="inlineStr">
        <is>
          <t>TECH-001</t>
        </is>
      </c>
      <c r="H2" s="33" t="n">
        <v>46152.46527777778</v>
      </c>
      <c r="I2" s="30" t="inlineStr"/>
    </row>
    <row r="3">
      <c r="A3" s="30" t="inlineStr">
        <is>
          <t>USE-0001-2</t>
        </is>
      </c>
      <c r="B3" s="30" t="inlineStr">
        <is>
          <t>WO-2026-0001</t>
        </is>
      </c>
      <c r="C3" s="30" t="inlineStr">
        <is>
          <t>PRT-004</t>
        </is>
      </c>
      <c r="D3" s="32" t="n">
        <v>2</v>
      </c>
      <c r="E3" s="32" t="n">
        <v>95</v>
      </c>
      <c r="F3" s="32" t="n">
        <v>190</v>
      </c>
      <c r="G3" s="30" t="inlineStr">
        <is>
          <t>TECH-001</t>
        </is>
      </c>
      <c r="H3" s="33" t="n">
        <v>46152.46527777778</v>
      </c>
      <c r="I3" s="30" t="inlineStr"/>
    </row>
    <row r="4">
      <c r="A4" s="30" t="inlineStr">
        <is>
          <t>USE-0002-1</t>
        </is>
      </c>
      <c r="B4" s="30" t="inlineStr">
        <is>
          <t>WO-2026-0002</t>
        </is>
      </c>
      <c r="C4" s="30" t="inlineStr">
        <is>
          <t>PRT-002</t>
        </is>
      </c>
      <c r="D4" s="32" t="n">
        <v>1</v>
      </c>
      <c r="E4" s="32" t="n">
        <v>380</v>
      </c>
      <c r="F4" s="32" t="n">
        <v>380</v>
      </c>
      <c r="G4" s="30" t="inlineStr">
        <is>
          <t>TECH-001</t>
        </is>
      </c>
      <c r="H4" s="33" t="n">
        <v>46160.65277777778</v>
      </c>
      <c r="I4" s="30" t="inlineStr"/>
    </row>
    <row r="5">
      <c r="A5" s="30" t="inlineStr">
        <is>
          <t>USE-0003-1</t>
        </is>
      </c>
      <c r="B5" s="30" t="inlineStr">
        <is>
          <t>WO-2026-0003</t>
        </is>
      </c>
      <c r="C5" s="30" t="inlineStr">
        <is>
          <t>PRT-003</t>
        </is>
      </c>
      <c r="D5" s="32" t="n">
        <v>1</v>
      </c>
      <c r="E5" s="32" t="n">
        <v>1250</v>
      </c>
      <c r="F5" s="32" t="n">
        <v>1250</v>
      </c>
      <c r="G5" s="30" t="inlineStr">
        <is>
          <t>TECH-003</t>
        </is>
      </c>
      <c r="H5" s="33" t="n">
        <v>46175.48611111111</v>
      </c>
      <c r="I5" s="30" t="inlineStr"/>
    </row>
    <row r="6">
      <c r="A6" s="30" t="inlineStr">
        <is>
          <t>USE-0004-1</t>
        </is>
      </c>
      <c r="B6" s="30" t="inlineStr">
        <is>
          <t>WO-2026-0004</t>
        </is>
      </c>
      <c r="C6" s="30" t="inlineStr">
        <is>
          <t>PRT-006</t>
        </is>
      </c>
      <c r="D6" s="32" t="n">
        <v>2</v>
      </c>
      <c r="E6" s="32" t="n">
        <v>35</v>
      </c>
      <c r="F6" s="32" t="n">
        <v>70</v>
      </c>
      <c r="G6" s="30" t="inlineStr">
        <is>
          <t>TECH-002</t>
        </is>
      </c>
      <c r="H6" s="33" t="n">
        <v>46193.50694444445</v>
      </c>
      <c r="I6" s="30" t="inlineStr"/>
    </row>
    <row r="7">
      <c r="A7" s="30" t="inlineStr">
        <is>
          <t>USE-0005-1</t>
        </is>
      </c>
      <c r="B7" s="30" t="inlineStr">
        <is>
          <t>WO-2026-0005</t>
        </is>
      </c>
      <c r="C7" s="30" t="inlineStr">
        <is>
          <t>PRT-004</t>
        </is>
      </c>
      <c r="D7" s="32" t="n">
        <v>5</v>
      </c>
      <c r="E7" s="32" t="n">
        <v>95</v>
      </c>
      <c r="F7" s="32" t="n">
        <v>475</v>
      </c>
      <c r="G7" s="30" t="inlineStr">
        <is>
          <t>TECH-002</t>
        </is>
      </c>
      <c r="H7" s="33" t="n">
        <v>46204.48611111111</v>
      </c>
      <c r="I7" s="30" t="inlineStr"/>
    </row>
    <row r="8">
      <c r="A8" s="30" t="inlineStr">
        <is>
          <t>USE-0006-1</t>
        </is>
      </c>
      <c r="B8" s="30" t="inlineStr">
        <is>
          <t>WO-2026-0006</t>
        </is>
      </c>
      <c r="C8" s="30" t="inlineStr">
        <is>
          <t>PRT-007</t>
        </is>
      </c>
      <c r="D8" s="32" t="n">
        <v>1</v>
      </c>
      <c r="E8" s="32" t="n">
        <v>1800</v>
      </c>
      <c r="F8" s="32" t="n">
        <v>1800</v>
      </c>
      <c r="G8" s="30" t="inlineStr">
        <is>
          <t>TECH-001</t>
        </is>
      </c>
      <c r="H8" s="33" t="n">
        <v>46218.69444444445</v>
      </c>
      <c r="I8" s="30" t="inlineStr"/>
    </row>
    <row r="9">
      <c r="A9" s="30" t="inlineStr">
        <is>
          <t>USE-0006-2</t>
        </is>
      </c>
      <c r="B9" s="30" t="inlineStr">
        <is>
          <t>WO-2026-0006</t>
        </is>
      </c>
      <c r="C9" s="30" t="inlineStr">
        <is>
          <t>PRT-001</t>
        </is>
      </c>
      <c r="D9" s="32" t="n">
        <v>1</v>
      </c>
      <c r="E9" s="32" t="n">
        <v>450</v>
      </c>
      <c r="F9" s="32" t="n">
        <v>450</v>
      </c>
      <c r="G9" s="30" t="inlineStr">
        <is>
          <t>TECH-001</t>
        </is>
      </c>
      <c r="H9" s="33" t="n">
        <v>46218.69444444445</v>
      </c>
      <c r="I9" s="30" t="inlineStr"/>
    </row>
    <row r="10">
      <c r="A10" s="30" t="inlineStr">
        <is>
          <t>USE-0007-1</t>
        </is>
      </c>
      <c r="B10" s="30" t="inlineStr">
        <is>
          <t>WO-2026-0007</t>
        </is>
      </c>
      <c r="C10" s="30" t="inlineStr">
        <is>
          <t>PRT-005</t>
        </is>
      </c>
      <c r="D10" s="32" t="n">
        <v>1</v>
      </c>
      <c r="E10" s="32" t="n">
        <v>890</v>
      </c>
      <c r="F10" s="32" t="n">
        <v>890</v>
      </c>
      <c r="G10" s="30" t="inlineStr">
        <is>
          <t>TECH-004</t>
        </is>
      </c>
      <c r="H10" s="33" t="n">
        <v>46237.41319444445</v>
      </c>
      <c r="I10" s="30" t="inlineStr"/>
    </row>
    <row r="11">
      <c r="A11" s="30" t="inlineStr">
        <is>
          <t>USE-0008-1</t>
        </is>
      </c>
      <c r="B11" s="30" t="inlineStr">
        <is>
          <t>WO-2026-0008</t>
        </is>
      </c>
      <c r="C11" s="30" t="inlineStr">
        <is>
          <t>PRT-008</t>
        </is>
      </c>
      <c r="D11" s="32" t="n">
        <v>1</v>
      </c>
      <c r="E11" s="32" t="n">
        <v>650</v>
      </c>
      <c r="F11" s="32" t="n">
        <v>650</v>
      </c>
      <c r="G11" s="30" t="inlineStr">
        <is>
          <t>TECH-003</t>
        </is>
      </c>
      <c r="H11" s="33" t="n">
        <v>46251.41319444445</v>
      </c>
      <c r="I11" s="30" t="inlineStr"/>
    </row>
    <row r="12">
      <c r="A12" s="30" t="inlineStr">
        <is>
          <t>USE-0009-1</t>
        </is>
      </c>
      <c r="B12" s="30" t="inlineStr">
        <is>
          <t>WO-2026-0009</t>
        </is>
      </c>
      <c r="C12" s="30" t="inlineStr">
        <is>
          <t>PRT-004</t>
        </is>
      </c>
      <c r="D12" s="32" t="n">
        <v>20</v>
      </c>
      <c r="E12" s="32" t="n">
        <v>95</v>
      </c>
      <c r="F12" s="32" t="n">
        <v>1900</v>
      </c>
      <c r="G12" s="30" t="inlineStr">
        <is>
          <t>TECH-001</t>
        </is>
      </c>
      <c r="H12" s="33" t="n">
        <v>46270.84027777778</v>
      </c>
      <c r="I12" s="30" t="inlineStr"/>
    </row>
    <row r="13">
      <c r="A13" s="30" t="inlineStr">
        <is>
          <t>USE-0010-1</t>
        </is>
      </c>
      <c r="B13" s="30" t="inlineStr">
        <is>
          <t>WO-2026-0010</t>
        </is>
      </c>
      <c r="C13" s="30" t="inlineStr">
        <is>
          <t>PRT-005</t>
        </is>
      </c>
      <c r="D13" s="32" t="n">
        <v>1</v>
      </c>
      <c r="E13" s="32" t="n">
        <v>890</v>
      </c>
      <c r="F13" s="32" t="n">
        <v>890</v>
      </c>
      <c r="G13" s="30" t="inlineStr">
        <is>
          <t>TECH-004</t>
        </is>
      </c>
      <c r="H13" s="33" t="n">
        <v>46287.54861111111</v>
      </c>
      <c r="I13" s="30" t="inlineStr"/>
    </row>
    <row r="14">
      <c r="A14" s="30" t="inlineStr">
        <is>
          <t>USE-0011-1</t>
        </is>
      </c>
      <c r="B14" s="30" t="inlineStr">
        <is>
          <t>WO-2026-0011</t>
        </is>
      </c>
      <c r="C14" s="30" t="inlineStr">
        <is>
          <t>PRT-002</t>
        </is>
      </c>
      <c r="D14" s="32" t="n">
        <v>1</v>
      </c>
      <c r="E14" s="32" t="n">
        <v>380</v>
      </c>
      <c r="F14" s="32" t="n">
        <v>380</v>
      </c>
      <c r="G14" s="30" t="inlineStr">
        <is>
          <t>TECH-001</t>
        </is>
      </c>
      <c r="H14" s="33" t="n">
        <v>46299.42361111111</v>
      </c>
      <c r="I14" s="30" t="inlineStr"/>
    </row>
    <row r="15">
      <c r="A15" s="30" t="inlineStr">
        <is>
          <t>USE-0012-1</t>
        </is>
      </c>
      <c r="B15" s="30" t="inlineStr">
        <is>
          <t>WO-2026-0012</t>
        </is>
      </c>
      <c r="C15" s="30" t="inlineStr">
        <is>
          <t>PRT-003</t>
        </is>
      </c>
      <c r="D15" s="32" t="n">
        <v>1</v>
      </c>
      <c r="E15" s="32" t="n">
        <v>1250</v>
      </c>
      <c r="F15" s="32" t="n">
        <v>1250</v>
      </c>
      <c r="G15" s="30" t="inlineStr">
        <is>
          <t>TECH-003</t>
        </is>
      </c>
      <c r="H15" s="33" t="n">
        <v>46307.48611111111</v>
      </c>
      <c r="I15" s="30" t="inlineStr"/>
    </row>
    <row r="16">
      <c r="A16" s="30" t="inlineStr">
        <is>
          <t>USE-0012-2</t>
        </is>
      </c>
      <c r="B16" s="30" t="inlineStr">
        <is>
          <t>WO-2026-0012</t>
        </is>
      </c>
      <c r="C16" s="30" t="inlineStr">
        <is>
          <t>PRT-006</t>
        </is>
      </c>
      <c r="D16" s="32" t="n">
        <v>1</v>
      </c>
      <c r="E16" s="32" t="n">
        <v>35</v>
      </c>
      <c r="F16" s="32" t="n">
        <v>35</v>
      </c>
      <c r="G16" s="30" t="inlineStr">
        <is>
          <t>TECH-003</t>
        </is>
      </c>
      <c r="H16" s="33" t="n">
        <v>46307.48611111111</v>
      </c>
      <c r="I16" s="30" t="inlineStr"/>
    </row>
  </sheetData>
  <autoFilter ref="A1:I16"/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FDA4AF"/>
    <outlinePr summaryBelow="1" summaryRight="1"/>
    <pageSetUpPr fitToPage="1"/>
  </sheetPr>
  <dimension ref="A1:G9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18" customWidth="1" min="5" max="5"/>
    <col width="28" customWidth="1" min="6" max="6"/>
    <col width="36" customWidth="1" min="7" max="7"/>
  </cols>
  <sheetData>
    <row r="1" ht="32" customHeight="1">
      <c r="A1" s="29" t="inlineStr">
        <is>
          <t>StatusLogID</t>
        </is>
      </c>
      <c r="B1" s="29" t="inlineStr">
        <is>
          <t>WorkOrderID</t>
        </is>
      </c>
      <c r="C1" s="29" t="inlineStr">
        <is>
          <t>ChangedAt</t>
        </is>
      </c>
      <c r="D1" s="29" t="inlineStr">
        <is>
          <t>FromStatus</t>
        </is>
      </c>
      <c r="E1" s="29" t="inlineStr">
        <is>
          <t>ToStatus</t>
        </is>
      </c>
      <c r="F1" s="29" t="inlineStr">
        <is>
          <t>ChangedByEmail</t>
        </is>
      </c>
      <c r="G1" s="29" t="inlineStr">
        <is>
          <t>Comment</t>
        </is>
      </c>
    </row>
    <row r="2">
      <c r="A2" s="30" t="inlineStr">
        <is>
          <t>STL-0001-1</t>
        </is>
      </c>
      <c r="B2" s="30" t="inlineStr">
        <is>
          <t>WO-2026-0001</t>
        </is>
      </c>
      <c r="C2" s="33" t="n">
        <v>46152.33333333334</v>
      </c>
      <c r="D2" s="30" t="inlineStr"/>
      <c r="E2" s="30" t="inlineStr">
        <is>
          <t>New</t>
        </is>
      </c>
      <c r="F2" s="30" t="inlineStr">
        <is>
          <t>anant@example.com</t>
        </is>
      </c>
      <c r="G2" s="30" t="inlineStr">
        <is>
          <t>สร้างใบงาน</t>
        </is>
      </c>
    </row>
    <row r="3">
      <c r="A3" s="30" t="inlineStr">
        <is>
          <t>STL-0001-2</t>
        </is>
      </c>
      <c r="B3" s="30" t="inlineStr">
        <is>
          <t>WO-2026-0001</t>
        </is>
      </c>
      <c r="C3" s="33" t="n">
        <v>46152.33680555555</v>
      </c>
      <c r="D3" s="30" t="inlineStr">
        <is>
          <t>New</t>
        </is>
      </c>
      <c r="E3" s="30" t="inlineStr">
        <is>
          <t>Assigned</t>
        </is>
      </c>
      <c r="F3" s="30" t="inlineStr">
        <is>
          <t>kitti@example.com</t>
        </is>
      </c>
      <c r="G3" s="30" t="inlineStr">
        <is>
          <t>เปลี่ยนสถานะเป็น Assigned</t>
        </is>
      </c>
    </row>
    <row r="4">
      <c r="A4" s="30" t="inlineStr">
        <is>
          <t>STL-0001-3</t>
        </is>
      </c>
      <c r="B4" s="30" t="inlineStr">
        <is>
          <t>WO-2026-0001</t>
        </is>
      </c>
      <c r="C4" s="33" t="n">
        <v>46152.34375</v>
      </c>
      <c r="D4" s="30" t="inlineStr">
        <is>
          <t>Assigned</t>
        </is>
      </c>
      <c r="E4" s="30" t="inlineStr">
        <is>
          <t>Accepted</t>
        </is>
      </c>
      <c r="F4" s="30" t="inlineStr">
        <is>
          <t>somchai@example.com</t>
        </is>
      </c>
      <c r="G4" s="30" t="inlineStr">
        <is>
          <t>เปลี่ยนสถานะเป็น Accepted</t>
        </is>
      </c>
    </row>
    <row r="5">
      <c r="A5" s="30" t="inlineStr">
        <is>
          <t>STL-0001-4</t>
        </is>
      </c>
      <c r="B5" s="30" t="inlineStr">
        <is>
          <t>WO-2026-0001</t>
        </is>
      </c>
      <c r="C5" s="33" t="n">
        <v>46152.35416666666</v>
      </c>
      <c r="D5" s="30" t="inlineStr">
        <is>
          <t>Accepted</t>
        </is>
      </c>
      <c r="E5" s="30" t="inlineStr">
        <is>
          <t>In Progress</t>
        </is>
      </c>
      <c r="F5" s="30" t="inlineStr">
        <is>
          <t>somchai@example.com</t>
        </is>
      </c>
      <c r="G5" s="30" t="inlineStr">
        <is>
          <t>เปลี่ยนสถานะเป็น In Progress</t>
        </is>
      </c>
    </row>
    <row r="6">
      <c r="A6" s="30" t="inlineStr">
        <is>
          <t>STL-0001-5</t>
        </is>
      </c>
      <c r="B6" s="30" t="inlineStr">
        <is>
          <t>WO-2026-0001</t>
        </is>
      </c>
      <c r="C6" s="33" t="n">
        <v>46152.47916666666</v>
      </c>
      <c r="D6" s="30" t="inlineStr">
        <is>
          <t>In Progress</t>
        </is>
      </c>
      <c r="E6" s="30" t="inlineStr">
        <is>
          <t>Completed</t>
        </is>
      </c>
      <c r="F6" s="30" t="inlineStr">
        <is>
          <t>somchai@example.com</t>
        </is>
      </c>
      <c r="G6" s="30" t="inlineStr">
        <is>
          <t>เปลี่ยนสถานะเป็น Completed</t>
        </is>
      </c>
    </row>
    <row r="7">
      <c r="A7" s="30" t="inlineStr">
        <is>
          <t>STL-0001-6</t>
        </is>
      </c>
      <c r="B7" s="30" t="inlineStr">
        <is>
          <t>WO-2026-0001</t>
        </is>
      </c>
      <c r="C7" s="33" t="n">
        <v>46152.51041666666</v>
      </c>
      <c r="D7" s="30" t="inlineStr">
        <is>
          <t>Completed</t>
        </is>
      </c>
      <c r="E7" s="30" t="inlineStr">
        <is>
          <t>Verified</t>
        </is>
      </c>
      <c r="F7" s="30" t="inlineStr">
        <is>
          <t>anant@example.com</t>
        </is>
      </c>
      <c r="G7" s="30" t="inlineStr">
        <is>
          <t>เปลี่ยนสถานะเป็น Verified</t>
        </is>
      </c>
    </row>
    <row r="8">
      <c r="A8" s="30" t="inlineStr">
        <is>
          <t>STL-0001-7</t>
        </is>
      </c>
      <c r="B8" s="30" t="inlineStr">
        <is>
          <t>WO-2026-0001</t>
        </is>
      </c>
      <c r="C8" s="33" t="n">
        <v>46152.52083333334</v>
      </c>
      <c r="D8" s="30" t="inlineStr">
        <is>
          <t>Verified</t>
        </is>
      </c>
      <c r="E8" s="30" t="inlineStr">
        <is>
          <t>Closed</t>
        </is>
      </c>
      <c r="F8" s="30" t="inlineStr">
        <is>
          <t>kitti@example.com</t>
        </is>
      </c>
      <c r="G8" s="30" t="inlineStr">
        <is>
          <t>เปลี่ยนสถานะเป็น Closed</t>
        </is>
      </c>
    </row>
    <row r="9">
      <c r="A9" s="30" t="inlineStr">
        <is>
          <t>STL-0002-1</t>
        </is>
      </c>
      <c r="B9" s="30" t="inlineStr">
        <is>
          <t>WO-2026-0002</t>
        </is>
      </c>
      <c r="C9" s="33" t="n">
        <v>46160.58333333334</v>
      </c>
      <c r="D9" s="30" t="inlineStr"/>
      <c r="E9" s="30" t="inlineStr">
        <is>
          <t>New</t>
        </is>
      </c>
      <c r="F9" s="30" t="inlineStr">
        <is>
          <t>kamon@example.com</t>
        </is>
      </c>
      <c r="G9" s="30" t="inlineStr">
        <is>
          <t>สร้างใบงาน</t>
        </is>
      </c>
    </row>
    <row r="10">
      <c r="A10" s="30" t="inlineStr">
        <is>
          <t>STL-0002-2</t>
        </is>
      </c>
      <c r="B10" s="30" t="inlineStr">
        <is>
          <t>WO-2026-0002</t>
        </is>
      </c>
      <c r="C10" s="33" t="n">
        <v>46160.58680555555</v>
      </c>
      <c r="D10" s="30" t="inlineStr">
        <is>
          <t>New</t>
        </is>
      </c>
      <c r="E10" s="30" t="inlineStr">
        <is>
          <t>Assigned</t>
        </is>
      </c>
      <c r="F10" s="30" t="inlineStr">
        <is>
          <t>kitti@example.com</t>
        </is>
      </c>
      <c r="G10" s="30" t="inlineStr">
        <is>
          <t>เปลี่ยนสถานะเป็น Assigned</t>
        </is>
      </c>
    </row>
    <row r="11">
      <c r="A11" s="30" t="inlineStr">
        <is>
          <t>STL-0002-3</t>
        </is>
      </c>
      <c r="B11" s="30" t="inlineStr">
        <is>
          <t>WO-2026-0002</t>
        </is>
      </c>
      <c r="C11" s="33" t="n">
        <v>46160.59375</v>
      </c>
      <c r="D11" s="30" t="inlineStr">
        <is>
          <t>Assigned</t>
        </is>
      </c>
      <c r="E11" s="30" t="inlineStr">
        <is>
          <t>Accepted</t>
        </is>
      </c>
      <c r="F11" s="30" t="inlineStr">
        <is>
          <t>somchai@example.com</t>
        </is>
      </c>
      <c r="G11" s="30" t="inlineStr">
        <is>
          <t>เปลี่ยนสถานะเป็น Accepted</t>
        </is>
      </c>
    </row>
    <row r="12">
      <c r="A12" s="30" t="inlineStr">
        <is>
          <t>STL-0002-4</t>
        </is>
      </c>
      <c r="B12" s="30" t="inlineStr">
        <is>
          <t>WO-2026-0002</t>
        </is>
      </c>
      <c r="C12" s="33" t="n">
        <v>46160.60416666666</v>
      </c>
      <c r="D12" s="30" t="inlineStr">
        <is>
          <t>Accepted</t>
        </is>
      </c>
      <c r="E12" s="30" t="inlineStr">
        <is>
          <t>In Progress</t>
        </is>
      </c>
      <c r="F12" s="30" t="inlineStr">
        <is>
          <t>somchai@example.com</t>
        </is>
      </c>
      <c r="G12" s="30" t="inlineStr">
        <is>
          <t>เปลี่ยนสถานะเป็น In Progress</t>
        </is>
      </c>
    </row>
    <row r="13">
      <c r="A13" s="30" t="inlineStr">
        <is>
          <t>STL-0002-5</t>
        </is>
      </c>
      <c r="B13" s="30" t="inlineStr">
        <is>
          <t>WO-2026-0002</t>
        </is>
      </c>
      <c r="C13" s="33" t="n">
        <v>46160.66666666666</v>
      </c>
      <c r="D13" s="30" t="inlineStr">
        <is>
          <t>In Progress</t>
        </is>
      </c>
      <c r="E13" s="30" t="inlineStr">
        <is>
          <t>Completed</t>
        </is>
      </c>
      <c r="F13" s="30" t="inlineStr">
        <is>
          <t>somchai@example.com</t>
        </is>
      </c>
      <c r="G13" s="30" t="inlineStr">
        <is>
          <t>เปลี่ยนสถานะเป็น Completed</t>
        </is>
      </c>
    </row>
    <row r="14">
      <c r="A14" s="30" t="inlineStr">
        <is>
          <t>STL-0002-6</t>
        </is>
      </c>
      <c r="B14" s="30" t="inlineStr">
        <is>
          <t>WO-2026-0002</t>
        </is>
      </c>
      <c r="C14" s="33" t="n">
        <v>46160.69791666666</v>
      </c>
      <c r="D14" s="30" t="inlineStr">
        <is>
          <t>Completed</t>
        </is>
      </c>
      <c r="E14" s="30" t="inlineStr">
        <is>
          <t>Verified</t>
        </is>
      </c>
      <c r="F14" s="30" t="inlineStr">
        <is>
          <t>kamon@example.com</t>
        </is>
      </c>
      <c r="G14" s="30" t="inlineStr">
        <is>
          <t>เปลี่ยนสถานะเป็น Verified</t>
        </is>
      </c>
    </row>
    <row r="15">
      <c r="A15" s="30" t="inlineStr">
        <is>
          <t>STL-0002-7</t>
        </is>
      </c>
      <c r="B15" s="30" t="inlineStr">
        <is>
          <t>WO-2026-0002</t>
        </is>
      </c>
      <c r="C15" s="33" t="n">
        <v>46160.70833333334</v>
      </c>
      <c r="D15" s="30" t="inlineStr">
        <is>
          <t>Verified</t>
        </is>
      </c>
      <c r="E15" s="30" t="inlineStr">
        <is>
          <t>Closed</t>
        </is>
      </c>
      <c r="F15" s="30" t="inlineStr">
        <is>
          <t>kitti@example.com</t>
        </is>
      </c>
      <c r="G15" s="30" t="inlineStr">
        <is>
          <t>เปลี่ยนสถานะเป็น Closed</t>
        </is>
      </c>
    </row>
    <row r="16">
      <c r="A16" s="30" t="inlineStr">
        <is>
          <t>STL-0003-1</t>
        </is>
      </c>
      <c r="B16" s="30" t="inlineStr">
        <is>
          <t>WO-2026-0003</t>
        </is>
      </c>
      <c r="C16" s="33" t="n">
        <v>46175.3125</v>
      </c>
      <c r="D16" s="30" t="inlineStr"/>
      <c r="E16" s="30" t="inlineStr">
        <is>
          <t>New</t>
        </is>
      </c>
      <c r="F16" s="30" t="inlineStr">
        <is>
          <t>suree@example.com</t>
        </is>
      </c>
      <c r="G16" s="30" t="inlineStr">
        <is>
          <t>สร้างใบงาน</t>
        </is>
      </c>
    </row>
    <row r="17">
      <c r="A17" s="30" t="inlineStr">
        <is>
          <t>STL-0003-2</t>
        </is>
      </c>
      <c r="B17" s="30" t="inlineStr">
        <is>
          <t>WO-2026-0003</t>
        </is>
      </c>
      <c r="C17" s="33" t="n">
        <v>46175.31597222222</v>
      </c>
      <c r="D17" s="30" t="inlineStr">
        <is>
          <t>New</t>
        </is>
      </c>
      <c r="E17" s="30" t="inlineStr">
        <is>
          <t>Assigned</t>
        </is>
      </c>
      <c r="F17" s="30" t="inlineStr">
        <is>
          <t>kitti@example.com</t>
        </is>
      </c>
      <c r="G17" s="30" t="inlineStr">
        <is>
          <t>เปลี่ยนสถานะเป็น Assigned</t>
        </is>
      </c>
    </row>
    <row r="18">
      <c r="A18" s="30" t="inlineStr">
        <is>
          <t>STL-0003-3</t>
        </is>
      </c>
      <c r="B18" s="30" t="inlineStr">
        <is>
          <t>WO-2026-0003</t>
        </is>
      </c>
      <c r="C18" s="33" t="n">
        <v>46175.32291666666</v>
      </c>
      <c r="D18" s="30" t="inlineStr">
        <is>
          <t>Assigned</t>
        </is>
      </c>
      <c r="E18" s="30" t="inlineStr">
        <is>
          <t>Accepted</t>
        </is>
      </c>
      <c r="F18" s="30" t="inlineStr">
        <is>
          <t>wichai@example.com</t>
        </is>
      </c>
      <c r="G18" s="30" t="inlineStr">
        <is>
          <t>เปลี่ยนสถานะเป็น Accepted</t>
        </is>
      </c>
    </row>
    <row r="19">
      <c r="A19" s="30" t="inlineStr">
        <is>
          <t>STL-0003-4</t>
        </is>
      </c>
      <c r="B19" s="30" t="inlineStr">
        <is>
          <t>WO-2026-0003</t>
        </is>
      </c>
      <c r="C19" s="33" t="n">
        <v>46175.33333333334</v>
      </c>
      <c r="D19" s="30" t="inlineStr">
        <is>
          <t>Accepted</t>
        </is>
      </c>
      <c r="E19" s="30" t="inlineStr">
        <is>
          <t>In Progress</t>
        </is>
      </c>
      <c r="F19" s="30" t="inlineStr">
        <is>
          <t>wichai@example.com</t>
        </is>
      </c>
      <c r="G19" s="30" t="inlineStr">
        <is>
          <t>เปลี่ยนสถานะเป็น In Progress</t>
        </is>
      </c>
    </row>
    <row r="20">
      <c r="A20" s="30" t="inlineStr">
        <is>
          <t>STL-0003-5</t>
        </is>
      </c>
      <c r="B20" s="30" t="inlineStr">
        <is>
          <t>WO-2026-0003</t>
        </is>
      </c>
      <c r="C20" s="33" t="n">
        <v>46175.5</v>
      </c>
      <c r="D20" s="30" t="inlineStr">
        <is>
          <t>In Progress</t>
        </is>
      </c>
      <c r="E20" s="30" t="inlineStr">
        <is>
          <t>Completed</t>
        </is>
      </c>
      <c r="F20" s="30" t="inlineStr">
        <is>
          <t>wichai@example.com</t>
        </is>
      </c>
      <c r="G20" s="30" t="inlineStr">
        <is>
          <t>เปลี่ยนสถานะเป็น Completed</t>
        </is>
      </c>
    </row>
    <row r="21">
      <c r="A21" s="30" t="inlineStr">
        <is>
          <t>STL-0003-6</t>
        </is>
      </c>
      <c r="B21" s="30" t="inlineStr">
        <is>
          <t>WO-2026-0003</t>
        </is>
      </c>
      <c r="C21" s="33" t="n">
        <v>46175.53125</v>
      </c>
      <c r="D21" s="30" t="inlineStr">
        <is>
          <t>Completed</t>
        </is>
      </c>
      <c r="E21" s="30" t="inlineStr">
        <is>
          <t>Verified</t>
        </is>
      </c>
      <c r="F21" s="30" t="inlineStr">
        <is>
          <t>suree@example.com</t>
        </is>
      </c>
      <c r="G21" s="30" t="inlineStr">
        <is>
          <t>เปลี่ยนสถานะเป็น Verified</t>
        </is>
      </c>
    </row>
    <row r="22">
      <c r="A22" s="30" t="inlineStr">
        <is>
          <t>STL-0003-7</t>
        </is>
      </c>
      <c r="B22" s="30" t="inlineStr">
        <is>
          <t>WO-2026-0003</t>
        </is>
      </c>
      <c r="C22" s="33" t="n">
        <v>46175.54166666666</v>
      </c>
      <c r="D22" s="30" t="inlineStr">
        <is>
          <t>Verified</t>
        </is>
      </c>
      <c r="E22" s="30" t="inlineStr">
        <is>
          <t>Closed</t>
        </is>
      </c>
      <c r="F22" s="30" t="inlineStr">
        <is>
          <t>kitti@example.com</t>
        </is>
      </c>
      <c r="G22" s="30" t="inlineStr">
        <is>
          <t>เปลี่ยนสถานะเป็น Closed</t>
        </is>
      </c>
    </row>
    <row r="23">
      <c r="A23" s="30" t="inlineStr">
        <is>
          <t>STL-0004-1</t>
        </is>
      </c>
      <c r="B23" s="30" t="inlineStr">
        <is>
          <t>WO-2026-0004</t>
        </is>
      </c>
      <c r="C23" s="33" t="n">
        <v>46193.41666666666</v>
      </c>
      <c r="D23" s="30" t="inlineStr"/>
      <c r="E23" s="30" t="inlineStr">
        <is>
          <t>New</t>
        </is>
      </c>
      <c r="F23" s="30" t="inlineStr">
        <is>
          <t>anant@example.com</t>
        </is>
      </c>
      <c r="G23" s="30" t="inlineStr">
        <is>
          <t>สร้างใบงาน</t>
        </is>
      </c>
    </row>
    <row r="24">
      <c r="A24" s="30" t="inlineStr">
        <is>
          <t>STL-0004-2</t>
        </is>
      </c>
      <c r="B24" s="30" t="inlineStr">
        <is>
          <t>WO-2026-0004</t>
        </is>
      </c>
      <c r="C24" s="33" t="n">
        <v>46193.42013888889</v>
      </c>
      <c r="D24" s="30" t="inlineStr">
        <is>
          <t>New</t>
        </is>
      </c>
      <c r="E24" s="30" t="inlineStr">
        <is>
          <t>Assigned</t>
        </is>
      </c>
      <c r="F24" s="30" t="inlineStr">
        <is>
          <t>kitti@example.com</t>
        </is>
      </c>
      <c r="G24" s="30" t="inlineStr">
        <is>
          <t>เปลี่ยนสถานะเป็น Assigned</t>
        </is>
      </c>
    </row>
    <row r="25">
      <c r="A25" s="30" t="inlineStr">
        <is>
          <t>STL-0004-3</t>
        </is>
      </c>
      <c r="B25" s="30" t="inlineStr">
        <is>
          <t>WO-2026-0004</t>
        </is>
      </c>
      <c r="C25" s="33" t="n">
        <v>46193.42708333334</v>
      </c>
      <c r="D25" s="30" t="inlineStr">
        <is>
          <t>Assigned</t>
        </is>
      </c>
      <c r="E25" s="30" t="inlineStr">
        <is>
          <t>Accepted</t>
        </is>
      </c>
      <c r="F25" s="30" t="inlineStr">
        <is>
          <t>somying@example.com</t>
        </is>
      </c>
      <c r="G25" s="30" t="inlineStr">
        <is>
          <t>เปลี่ยนสถานะเป็น Accepted</t>
        </is>
      </c>
    </row>
    <row r="26">
      <c r="A26" s="30" t="inlineStr">
        <is>
          <t>STL-0004-4</t>
        </is>
      </c>
      <c r="B26" s="30" t="inlineStr">
        <is>
          <t>WO-2026-0004</t>
        </is>
      </c>
      <c r="C26" s="33" t="n">
        <v>46193.4375</v>
      </c>
      <c r="D26" s="30" t="inlineStr">
        <is>
          <t>Accepted</t>
        </is>
      </c>
      <c r="E26" s="30" t="inlineStr">
        <is>
          <t>In Progress</t>
        </is>
      </c>
      <c r="F26" s="30" t="inlineStr">
        <is>
          <t>somying@example.com</t>
        </is>
      </c>
      <c r="G26" s="30" t="inlineStr">
        <is>
          <t>เปลี่ยนสถานะเป็น In Progress</t>
        </is>
      </c>
    </row>
    <row r="27">
      <c r="A27" s="30" t="inlineStr">
        <is>
          <t>STL-0004-5</t>
        </is>
      </c>
      <c r="B27" s="30" t="inlineStr">
        <is>
          <t>WO-2026-0004</t>
        </is>
      </c>
      <c r="C27" s="33" t="n">
        <v>46193.52083333334</v>
      </c>
      <c r="D27" s="30" t="inlineStr">
        <is>
          <t>In Progress</t>
        </is>
      </c>
      <c r="E27" s="30" t="inlineStr">
        <is>
          <t>Completed</t>
        </is>
      </c>
      <c r="F27" s="30" t="inlineStr">
        <is>
          <t>somying@example.com</t>
        </is>
      </c>
      <c r="G27" s="30" t="inlineStr">
        <is>
          <t>เปลี่ยนสถานะเป็น Completed</t>
        </is>
      </c>
    </row>
    <row r="28">
      <c r="A28" s="30" t="inlineStr">
        <is>
          <t>STL-0004-6</t>
        </is>
      </c>
      <c r="B28" s="30" t="inlineStr">
        <is>
          <t>WO-2026-0004</t>
        </is>
      </c>
      <c r="C28" s="33" t="n">
        <v>46193.55208333334</v>
      </c>
      <c r="D28" s="30" t="inlineStr">
        <is>
          <t>Completed</t>
        </is>
      </c>
      <c r="E28" s="30" t="inlineStr">
        <is>
          <t>Verified</t>
        </is>
      </c>
      <c r="F28" s="30" t="inlineStr">
        <is>
          <t>anant@example.com</t>
        </is>
      </c>
      <c r="G28" s="30" t="inlineStr">
        <is>
          <t>เปลี่ยนสถานะเป็น Verified</t>
        </is>
      </c>
    </row>
    <row r="29">
      <c r="A29" s="30" t="inlineStr">
        <is>
          <t>STL-0004-7</t>
        </is>
      </c>
      <c r="B29" s="30" t="inlineStr">
        <is>
          <t>WO-2026-0004</t>
        </is>
      </c>
      <c r="C29" s="33" t="n">
        <v>46193.5625</v>
      </c>
      <c r="D29" s="30" t="inlineStr">
        <is>
          <t>Verified</t>
        </is>
      </c>
      <c r="E29" s="30" t="inlineStr">
        <is>
          <t>Closed</t>
        </is>
      </c>
      <c r="F29" s="30" t="inlineStr">
        <is>
          <t>kitti@example.com</t>
        </is>
      </c>
      <c r="G29" s="30" t="inlineStr">
        <is>
          <t>เปลี่ยนสถานะเป็น Closed</t>
        </is>
      </c>
    </row>
    <row r="30">
      <c r="A30" s="30" t="inlineStr">
        <is>
          <t>STL-0005-1</t>
        </is>
      </c>
      <c r="B30" s="30" t="inlineStr">
        <is>
          <t>WO-2026-0005</t>
        </is>
      </c>
      <c r="C30" s="33" t="n">
        <v>46204.375</v>
      </c>
      <c r="D30" s="30" t="inlineStr"/>
      <c r="E30" s="30" t="inlineStr">
        <is>
          <t>New</t>
        </is>
      </c>
      <c r="F30" s="30" t="inlineStr">
        <is>
          <t>kamon@example.com</t>
        </is>
      </c>
      <c r="G30" s="30" t="inlineStr">
        <is>
          <t>สร้างใบงาน</t>
        </is>
      </c>
    </row>
    <row r="31">
      <c r="A31" s="30" t="inlineStr">
        <is>
          <t>STL-0005-2</t>
        </is>
      </c>
      <c r="B31" s="30" t="inlineStr">
        <is>
          <t>WO-2026-0005</t>
        </is>
      </c>
      <c r="C31" s="33" t="n">
        <v>46204.37847222222</v>
      </c>
      <c r="D31" s="30" t="inlineStr">
        <is>
          <t>New</t>
        </is>
      </c>
      <c r="E31" s="30" t="inlineStr">
        <is>
          <t>Assigned</t>
        </is>
      </c>
      <c r="F31" s="30" t="inlineStr">
        <is>
          <t>kitti@example.com</t>
        </is>
      </c>
      <c r="G31" s="30" t="inlineStr">
        <is>
          <t>เปลี่ยนสถานะเป็น Assigned</t>
        </is>
      </c>
    </row>
    <row r="32">
      <c r="A32" s="30" t="inlineStr">
        <is>
          <t>STL-0005-3</t>
        </is>
      </c>
      <c r="B32" s="30" t="inlineStr">
        <is>
          <t>WO-2026-0005</t>
        </is>
      </c>
      <c r="C32" s="33" t="n">
        <v>46204.38541666666</v>
      </c>
      <c r="D32" s="30" t="inlineStr">
        <is>
          <t>Assigned</t>
        </is>
      </c>
      <c r="E32" s="30" t="inlineStr">
        <is>
          <t>Accepted</t>
        </is>
      </c>
      <c r="F32" s="30" t="inlineStr">
        <is>
          <t>somying@example.com</t>
        </is>
      </c>
      <c r="G32" s="30" t="inlineStr">
        <is>
          <t>เปลี่ยนสถานะเป็น Accepted</t>
        </is>
      </c>
    </row>
    <row r="33">
      <c r="A33" s="30" t="inlineStr">
        <is>
          <t>STL-0005-4</t>
        </is>
      </c>
      <c r="B33" s="30" t="inlineStr">
        <is>
          <t>WO-2026-0005</t>
        </is>
      </c>
      <c r="C33" s="33" t="n">
        <v>46204.39583333334</v>
      </c>
      <c r="D33" s="30" t="inlineStr">
        <is>
          <t>Accepted</t>
        </is>
      </c>
      <c r="E33" s="30" t="inlineStr">
        <is>
          <t>In Progress</t>
        </is>
      </c>
      <c r="F33" s="30" t="inlineStr">
        <is>
          <t>somying@example.com</t>
        </is>
      </c>
      <c r="G33" s="30" t="inlineStr">
        <is>
          <t>เปลี่ยนสถานะเป็น In Progress</t>
        </is>
      </c>
    </row>
    <row r="34">
      <c r="A34" s="30" t="inlineStr">
        <is>
          <t>STL-0005-5</t>
        </is>
      </c>
      <c r="B34" s="30" t="inlineStr">
        <is>
          <t>WO-2026-0005</t>
        </is>
      </c>
      <c r="C34" s="33" t="n">
        <v>46204.5</v>
      </c>
      <c r="D34" s="30" t="inlineStr">
        <is>
          <t>In Progress</t>
        </is>
      </c>
      <c r="E34" s="30" t="inlineStr">
        <is>
          <t>Completed</t>
        </is>
      </c>
      <c r="F34" s="30" t="inlineStr">
        <is>
          <t>somying@example.com</t>
        </is>
      </c>
      <c r="G34" s="30" t="inlineStr">
        <is>
          <t>เปลี่ยนสถานะเป็น Completed</t>
        </is>
      </c>
    </row>
    <row r="35">
      <c r="A35" s="30" t="inlineStr">
        <is>
          <t>STL-0005-6</t>
        </is>
      </c>
      <c r="B35" s="30" t="inlineStr">
        <is>
          <t>WO-2026-0005</t>
        </is>
      </c>
      <c r="C35" s="33" t="n">
        <v>46204.53125</v>
      </c>
      <c r="D35" s="30" t="inlineStr">
        <is>
          <t>Completed</t>
        </is>
      </c>
      <c r="E35" s="30" t="inlineStr">
        <is>
          <t>Verified</t>
        </is>
      </c>
      <c r="F35" s="30" t="inlineStr">
        <is>
          <t>kamon@example.com</t>
        </is>
      </c>
      <c r="G35" s="30" t="inlineStr">
        <is>
          <t>เปลี่ยนสถานะเป็น Verified</t>
        </is>
      </c>
    </row>
    <row r="36">
      <c r="A36" s="30" t="inlineStr">
        <is>
          <t>STL-0005-7</t>
        </is>
      </c>
      <c r="B36" s="30" t="inlineStr">
        <is>
          <t>WO-2026-0005</t>
        </is>
      </c>
      <c r="C36" s="33" t="n">
        <v>46204.54166666666</v>
      </c>
      <c r="D36" s="30" t="inlineStr">
        <is>
          <t>Verified</t>
        </is>
      </c>
      <c r="E36" s="30" t="inlineStr">
        <is>
          <t>Closed</t>
        </is>
      </c>
      <c r="F36" s="30" t="inlineStr">
        <is>
          <t>kitti@example.com</t>
        </is>
      </c>
      <c r="G36" s="30" t="inlineStr">
        <is>
          <t>เปลี่ยนสถานะเป็น Closed</t>
        </is>
      </c>
    </row>
    <row r="37">
      <c r="A37" s="30" t="inlineStr">
        <is>
          <t>STL-0006-1</t>
        </is>
      </c>
      <c r="B37" s="30" t="inlineStr">
        <is>
          <t>WO-2026-0006</t>
        </is>
      </c>
      <c r="C37" s="33" t="n">
        <v>46218.54166666666</v>
      </c>
      <c r="D37" s="30" t="inlineStr"/>
      <c r="E37" s="30" t="inlineStr">
        <is>
          <t>New</t>
        </is>
      </c>
      <c r="F37" s="30" t="inlineStr">
        <is>
          <t>suree@example.com</t>
        </is>
      </c>
      <c r="G37" s="30" t="inlineStr">
        <is>
          <t>สร้างใบงาน</t>
        </is>
      </c>
    </row>
    <row r="38">
      <c r="A38" s="30" t="inlineStr">
        <is>
          <t>STL-0006-2</t>
        </is>
      </c>
      <c r="B38" s="30" t="inlineStr">
        <is>
          <t>WO-2026-0006</t>
        </is>
      </c>
      <c r="C38" s="33" t="n">
        <v>46218.54513888889</v>
      </c>
      <c r="D38" s="30" t="inlineStr">
        <is>
          <t>New</t>
        </is>
      </c>
      <c r="E38" s="30" t="inlineStr">
        <is>
          <t>Assigned</t>
        </is>
      </c>
      <c r="F38" s="30" t="inlineStr">
        <is>
          <t>kitti@example.com</t>
        </is>
      </c>
      <c r="G38" s="30" t="inlineStr">
        <is>
          <t>เปลี่ยนสถานะเป็น Assigned</t>
        </is>
      </c>
    </row>
    <row r="39">
      <c r="A39" s="30" t="inlineStr">
        <is>
          <t>STL-0006-3</t>
        </is>
      </c>
      <c r="B39" s="30" t="inlineStr">
        <is>
          <t>WO-2026-0006</t>
        </is>
      </c>
      <c r="C39" s="33" t="n">
        <v>46218.55208333334</v>
      </c>
      <c r="D39" s="30" t="inlineStr">
        <is>
          <t>Assigned</t>
        </is>
      </c>
      <c r="E39" s="30" t="inlineStr">
        <is>
          <t>Accepted</t>
        </is>
      </c>
      <c r="F39" s="30" t="inlineStr">
        <is>
          <t>somchai@example.com</t>
        </is>
      </c>
      <c r="G39" s="30" t="inlineStr">
        <is>
          <t>เปลี่ยนสถานะเป็น Accepted</t>
        </is>
      </c>
    </row>
    <row r="40">
      <c r="A40" s="30" t="inlineStr">
        <is>
          <t>STL-0006-4</t>
        </is>
      </c>
      <c r="B40" s="30" t="inlineStr">
        <is>
          <t>WO-2026-0006</t>
        </is>
      </c>
      <c r="C40" s="33" t="n">
        <v>46218.5625</v>
      </c>
      <c r="D40" s="30" t="inlineStr">
        <is>
          <t>Accepted</t>
        </is>
      </c>
      <c r="E40" s="30" t="inlineStr">
        <is>
          <t>In Progress</t>
        </is>
      </c>
      <c r="F40" s="30" t="inlineStr">
        <is>
          <t>somchai@example.com</t>
        </is>
      </c>
      <c r="G40" s="30" t="inlineStr">
        <is>
          <t>เปลี่ยนสถานะเป็น In Progress</t>
        </is>
      </c>
    </row>
    <row r="41">
      <c r="A41" s="30" t="inlineStr">
        <is>
          <t>STL-0006-5</t>
        </is>
      </c>
      <c r="B41" s="30" t="inlineStr">
        <is>
          <t>WO-2026-0006</t>
        </is>
      </c>
      <c r="C41" s="33" t="n">
        <v>46218.70833333334</v>
      </c>
      <c r="D41" s="30" t="inlineStr">
        <is>
          <t>In Progress</t>
        </is>
      </c>
      <c r="E41" s="30" t="inlineStr">
        <is>
          <t>Completed</t>
        </is>
      </c>
      <c r="F41" s="30" t="inlineStr">
        <is>
          <t>somchai@example.com</t>
        </is>
      </c>
      <c r="G41" s="30" t="inlineStr">
        <is>
          <t>เปลี่ยนสถานะเป็น Completed</t>
        </is>
      </c>
    </row>
    <row r="42">
      <c r="A42" s="30" t="inlineStr">
        <is>
          <t>STL-0006-6</t>
        </is>
      </c>
      <c r="B42" s="30" t="inlineStr">
        <is>
          <t>WO-2026-0006</t>
        </is>
      </c>
      <c r="C42" s="33" t="n">
        <v>46218.73958333334</v>
      </c>
      <c r="D42" s="30" t="inlineStr">
        <is>
          <t>Completed</t>
        </is>
      </c>
      <c r="E42" s="30" t="inlineStr">
        <is>
          <t>Verified</t>
        </is>
      </c>
      <c r="F42" s="30" t="inlineStr">
        <is>
          <t>suree@example.com</t>
        </is>
      </c>
      <c r="G42" s="30" t="inlineStr">
        <is>
          <t>เปลี่ยนสถานะเป็น Verified</t>
        </is>
      </c>
    </row>
    <row r="43">
      <c r="A43" s="30" t="inlineStr">
        <is>
          <t>STL-0006-7</t>
        </is>
      </c>
      <c r="B43" s="30" t="inlineStr">
        <is>
          <t>WO-2026-0006</t>
        </is>
      </c>
      <c r="C43" s="33" t="n">
        <v>46218.75</v>
      </c>
      <c r="D43" s="30" t="inlineStr">
        <is>
          <t>Verified</t>
        </is>
      </c>
      <c r="E43" s="30" t="inlineStr">
        <is>
          <t>Closed</t>
        </is>
      </c>
      <c r="F43" s="30" t="inlineStr">
        <is>
          <t>kitti@example.com</t>
        </is>
      </c>
      <c r="G43" s="30" t="inlineStr">
        <is>
          <t>เปลี่ยนสถานะเป็น Closed</t>
        </is>
      </c>
    </row>
    <row r="44">
      <c r="A44" s="30" t="inlineStr">
        <is>
          <t>STL-0007-1</t>
        </is>
      </c>
      <c r="B44" s="30" t="inlineStr">
        <is>
          <t>WO-2026-0007</t>
        </is>
      </c>
      <c r="C44" s="33" t="n">
        <v>46237.35416666666</v>
      </c>
      <c r="D44" s="30" t="inlineStr"/>
      <c r="E44" s="30" t="inlineStr">
        <is>
          <t>New</t>
        </is>
      </c>
      <c r="F44" s="30" t="inlineStr">
        <is>
          <t>anant@example.com</t>
        </is>
      </c>
      <c r="G44" s="30" t="inlineStr">
        <is>
          <t>สร้างใบงาน</t>
        </is>
      </c>
    </row>
    <row r="45">
      <c r="A45" s="30" t="inlineStr">
        <is>
          <t>STL-0007-2</t>
        </is>
      </c>
      <c r="B45" s="30" t="inlineStr">
        <is>
          <t>WO-2026-0007</t>
        </is>
      </c>
      <c r="C45" s="33" t="n">
        <v>46237.35763888889</v>
      </c>
      <c r="D45" s="30" t="inlineStr">
        <is>
          <t>New</t>
        </is>
      </c>
      <c r="E45" s="30" t="inlineStr">
        <is>
          <t>Assigned</t>
        </is>
      </c>
      <c r="F45" s="30" t="inlineStr">
        <is>
          <t>kitti@example.com</t>
        </is>
      </c>
      <c r="G45" s="30" t="inlineStr">
        <is>
          <t>เปลี่ยนสถานะเป็น Assigned</t>
        </is>
      </c>
    </row>
    <row r="46">
      <c r="A46" s="30" t="inlineStr">
        <is>
          <t>STL-0007-3</t>
        </is>
      </c>
      <c r="B46" s="30" t="inlineStr">
        <is>
          <t>WO-2026-0007</t>
        </is>
      </c>
      <c r="C46" s="33" t="n">
        <v>46237.36458333334</v>
      </c>
      <c r="D46" s="30" t="inlineStr">
        <is>
          <t>Assigned</t>
        </is>
      </c>
      <c r="E46" s="30" t="inlineStr">
        <is>
          <t>Accepted</t>
        </is>
      </c>
      <c r="F46" s="30" t="inlineStr">
        <is>
          <t>aree@example.com</t>
        </is>
      </c>
      <c r="G46" s="30" t="inlineStr">
        <is>
          <t>เปลี่ยนสถานะเป็น Accepted</t>
        </is>
      </c>
    </row>
    <row r="47">
      <c r="A47" s="30" t="inlineStr">
        <is>
          <t>STL-0007-4</t>
        </is>
      </c>
      <c r="B47" s="30" t="inlineStr">
        <is>
          <t>WO-2026-0007</t>
        </is>
      </c>
      <c r="C47" s="33" t="n">
        <v>46237.375</v>
      </c>
      <c r="D47" s="30" t="inlineStr">
        <is>
          <t>Accepted</t>
        </is>
      </c>
      <c r="E47" s="30" t="inlineStr">
        <is>
          <t>In Progress</t>
        </is>
      </c>
      <c r="F47" s="30" t="inlineStr">
        <is>
          <t>aree@example.com</t>
        </is>
      </c>
      <c r="G47" s="30" t="inlineStr">
        <is>
          <t>เปลี่ยนสถานะเป็น In Progress</t>
        </is>
      </c>
    </row>
    <row r="48">
      <c r="A48" s="30" t="inlineStr">
        <is>
          <t>STL-0007-5</t>
        </is>
      </c>
      <c r="B48" s="30" t="inlineStr">
        <is>
          <t>WO-2026-0007</t>
        </is>
      </c>
      <c r="C48" s="33" t="n">
        <v>46237.42708333334</v>
      </c>
      <c r="D48" s="30" t="inlineStr">
        <is>
          <t>In Progress</t>
        </is>
      </c>
      <c r="E48" s="30" t="inlineStr">
        <is>
          <t>Completed</t>
        </is>
      </c>
      <c r="F48" s="30" t="inlineStr">
        <is>
          <t>aree@example.com</t>
        </is>
      </c>
      <c r="G48" s="30" t="inlineStr">
        <is>
          <t>เปลี่ยนสถานะเป็น Completed</t>
        </is>
      </c>
    </row>
    <row r="49">
      <c r="A49" s="30" t="inlineStr">
        <is>
          <t>STL-0007-6</t>
        </is>
      </c>
      <c r="B49" s="30" t="inlineStr">
        <is>
          <t>WO-2026-0007</t>
        </is>
      </c>
      <c r="C49" s="33" t="n">
        <v>46237.45833333334</v>
      </c>
      <c r="D49" s="30" t="inlineStr">
        <is>
          <t>Completed</t>
        </is>
      </c>
      <c r="E49" s="30" t="inlineStr">
        <is>
          <t>Verified</t>
        </is>
      </c>
      <c r="F49" s="30" t="inlineStr">
        <is>
          <t>anant@example.com</t>
        </is>
      </c>
      <c r="G49" s="30" t="inlineStr">
        <is>
          <t>เปลี่ยนสถานะเป็น Verified</t>
        </is>
      </c>
    </row>
    <row r="50">
      <c r="A50" s="30" t="inlineStr">
        <is>
          <t>STL-0007-7</t>
        </is>
      </c>
      <c r="B50" s="30" t="inlineStr">
        <is>
          <t>WO-2026-0007</t>
        </is>
      </c>
      <c r="C50" s="33" t="n">
        <v>46237.46875</v>
      </c>
      <c r="D50" s="30" t="inlineStr">
        <is>
          <t>Verified</t>
        </is>
      </c>
      <c r="E50" s="30" t="inlineStr">
        <is>
          <t>Closed</t>
        </is>
      </c>
      <c r="F50" s="30" t="inlineStr">
        <is>
          <t>kitti@example.com</t>
        </is>
      </c>
      <c r="G50" s="30" t="inlineStr">
        <is>
          <t>เปลี่ยนสถานะเป็น Closed</t>
        </is>
      </c>
    </row>
    <row r="51">
      <c r="A51" s="30" t="inlineStr">
        <is>
          <t>STL-0008-1</t>
        </is>
      </c>
      <c r="B51" s="30" t="inlineStr">
        <is>
          <t>WO-2026-0008</t>
        </is>
      </c>
      <c r="C51" s="33" t="n">
        <v>46251.28125</v>
      </c>
      <c r="D51" s="30" t="inlineStr"/>
      <c r="E51" s="30" t="inlineStr">
        <is>
          <t>New</t>
        </is>
      </c>
      <c r="F51" s="30" t="inlineStr">
        <is>
          <t>kamon@example.com</t>
        </is>
      </c>
      <c r="G51" s="30" t="inlineStr">
        <is>
          <t>สร้างใบงาน</t>
        </is>
      </c>
    </row>
    <row r="52">
      <c r="A52" s="30" t="inlineStr">
        <is>
          <t>STL-0008-2</t>
        </is>
      </c>
      <c r="B52" s="30" t="inlineStr">
        <is>
          <t>WO-2026-0008</t>
        </is>
      </c>
      <c r="C52" s="33" t="n">
        <v>46251.28472222222</v>
      </c>
      <c r="D52" s="30" t="inlineStr">
        <is>
          <t>New</t>
        </is>
      </c>
      <c r="E52" s="30" t="inlineStr">
        <is>
          <t>Assigned</t>
        </is>
      </c>
      <c r="F52" s="30" t="inlineStr">
        <is>
          <t>kitti@example.com</t>
        </is>
      </c>
      <c r="G52" s="30" t="inlineStr">
        <is>
          <t>เปลี่ยนสถานะเป็น Assigned</t>
        </is>
      </c>
    </row>
    <row r="53">
      <c r="A53" s="30" t="inlineStr">
        <is>
          <t>STL-0008-3</t>
        </is>
      </c>
      <c r="B53" s="30" t="inlineStr">
        <is>
          <t>WO-2026-0008</t>
        </is>
      </c>
      <c r="C53" s="33" t="n">
        <v>46251.29166666666</v>
      </c>
      <c r="D53" s="30" t="inlineStr">
        <is>
          <t>Assigned</t>
        </is>
      </c>
      <c r="E53" s="30" t="inlineStr">
        <is>
          <t>Accepted</t>
        </is>
      </c>
      <c r="F53" s="30" t="inlineStr">
        <is>
          <t>wichai@example.com</t>
        </is>
      </c>
      <c r="G53" s="30" t="inlineStr">
        <is>
          <t>เปลี่ยนสถานะเป็น Accepted</t>
        </is>
      </c>
    </row>
    <row r="54">
      <c r="A54" s="30" t="inlineStr">
        <is>
          <t>STL-0008-4</t>
        </is>
      </c>
      <c r="B54" s="30" t="inlineStr">
        <is>
          <t>WO-2026-0008</t>
        </is>
      </c>
      <c r="C54" s="33" t="n">
        <v>46251.30208333334</v>
      </c>
      <c r="D54" s="30" t="inlineStr">
        <is>
          <t>Accepted</t>
        </is>
      </c>
      <c r="E54" s="30" t="inlineStr">
        <is>
          <t>In Progress</t>
        </is>
      </c>
      <c r="F54" s="30" t="inlineStr">
        <is>
          <t>wichai@example.com</t>
        </is>
      </c>
      <c r="G54" s="30" t="inlineStr">
        <is>
          <t>เปลี่ยนสถานะเป็น In Progress</t>
        </is>
      </c>
    </row>
    <row r="55">
      <c r="A55" s="30" t="inlineStr">
        <is>
          <t>STL-0008-5</t>
        </is>
      </c>
      <c r="B55" s="30" t="inlineStr">
        <is>
          <t>WO-2026-0008</t>
        </is>
      </c>
      <c r="C55" s="33" t="n">
        <v>46251.42708333334</v>
      </c>
      <c r="D55" s="30" t="inlineStr">
        <is>
          <t>In Progress</t>
        </is>
      </c>
      <c r="E55" s="30" t="inlineStr">
        <is>
          <t>Completed</t>
        </is>
      </c>
      <c r="F55" s="30" t="inlineStr">
        <is>
          <t>wichai@example.com</t>
        </is>
      </c>
      <c r="G55" s="30" t="inlineStr">
        <is>
          <t>เปลี่ยนสถานะเป็น Completed</t>
        </is>
      </c>
    </row>
    <row r="56">
      <c r="A56" s="30" t="inlineStr">
        <is>
          <t>STL-0008-6</t>
        </is>
      </c>
      <c r="B56" s="30" t="inlineStr">
        <is>
          <t>WO-2026-0008</t>
        </is>
      </c>
      <c r="C56" s="33" t="n">
        <v>46251.45833333334</v>
      </c>
      <c r="D56" s="30" t="inlineStr">
        <is>
          <t>Completed</t>
        </is>
      </c>
      <c r="E56" s="30" t="inlineStr">
        <is>
          <t>Verified</t>
        </is>
      </c>
      <c r="F56" s="30" t="inlineStr">
        <is>
          <t>kamon@example.com</t>
        </is>
      </c>
      <c r="G56" s="30" t="inlineStr">
        <is>
          <t>เปลี่ยนสถานะเป็น Verified</t>
        </is>
      </c>
    </row>
    <row r="57">
      <c r="A57" s="30" t="inlineStr">
        <is>
          <t>STL-0008-7</t>
        </is>
      </c>
      <c r="B57" s="30" t="inlineStr">
        <is>
          <t>WO-2026-0008</t>
        </is>
      </c>
      <c r="C57" s="33" t="n">
        <v>46251.46875</v>
      </c>
      <c r="D57" s="30" t="inlineStr">
        <is>
          <t>Verified</t>
        </is>
      </c>
      <c r="E57" s="30" t="inlineStr">
        <is>
          <t>Closed</t>
        </is>
      </c>
      <c r="F57" s="30" t="inlineStr">
        <is>
          <t>kitti@example.com</t>
        </is>
      </c>
      <c r="G57" s="30" t="inlineStr">
        <is>
          <t>เปลี่ยนสถานะเป็น Closed</t>
        </is>
      </c>
    </row>
    <row r="58">
      <c r="A58" s="30" t="inlineStr">
        <is>
          <t>STL-0009-1</t>
        </is>
      </c>
      <c r="B58" s="30" t="inlineStr">
        <is>
          <t>WO-2026-0009</t>
        </is>
      </c>
      <c r="C58" s="33" t="n">
        <v>46270.625</v>
      </c>
      <c r="D58" s="30" t="inlineStr"/>
      <c r="E58" s="30" t="inlineStr">
        <is>
          <t>New</t>
        </is>
      </c>
      <c r="F58" s="30" t="inlineStr">
        <is>
          <t>suree@example.com</t>
        </is>
      </c>
      <c r="G58" s="30" t="inlineStr">
        <is>
          <t>สร้างใบงาน</t>
        </is>
      </c>
    </row>
    <row r="59">
      <c r="A59" s="30" t="inlineStr">
        <is>
          <t>STL-0009-2</t>
        </is>
      </c>
      <c r="B59" s="30" t="inlineStr">
        <is>
          <t>WO-2026-0009</t>
        </is>
      </c>
      <c r="C59" s="33" t="n">
        <v>46270.62847222222</v>
      </c>
      <c r="D59" s="30" t="inlineStr">
        <is>
          <t>New</t>
        </is>
      </c>
      <c r="E59" s="30" t="inlineStr">
        <is>
          <t>Assigned</t>
        </is>
      </c>
      <c r="F59" s="30" t="inlineStr">
        <is>
          <t>kitti@example.com</t>
        </is>
      </c>
      <c r="G59" s="30" t="inlineStr">
        <is>
          <t>เปลี่ยนสถานะเป็น Assigned</t>
        </is>
      </c>
    </row>
    <row r="60">
      <c r="A60" s="30" t="inlineStr">
        <is>
          <t>STL-0009-3</t>
        </is>
      </c>
      <c r="B60" s="30" t="inlineStr">
        <is>
          <t>WO-2026-0009</t>
        </is>
      </c>
      <c r="C60" s="33" t="n">
        <v>46270.63541666666</v>
      </c>
      <c r="D60" s="30" t="inlineStr">
        <is>
          <t>Assigned</t>
        </is>
      </c>
      <c r="E60" s="30" t="inlineStr">
        <is>
          <t>Accepted</t>
        </is>
      </c>
      <c r="F60" s="30" t="inlineStr">
        <is>
          <t>somchai@example.com</t>
        </is>
      </c>
      <c r="G60" s="30" t="inlineStr">
        <is>
          <t>เปลี่ยนสถานะเป็น Accepted</t>
        </is>
      </c>
    </row>
    <row r="61">
      <c r="A61" s="30" t="inlineStr">
        <is>
          <t>STL-0009-4</t>
        </is>
      </c>
      <c r="B61" s="30" t="inlineStr">
        <is>
          <t>WO-2026-0009</t>
        </is>
      </c>
      <c r="C61" s="33" t="n">
        <v>46270.64583333334</v>
      </c>
      <c r="D61" s="30" t="inlineStr">
        <is>
          <t>Accepted</t>
        </is>
      </c>
      <c r="E61" s="30" t="inlineStr">
        <is>
          <t>In Progress</t>
        </is>
      </c>
      <c r="F61" s="30" t="inlineStr">
        <is>
          <t>somchai@example.com</t>
        </is>
      </c>
      <c r="G61" s="30" t="inlineStr">
        <is>
          <t>เปลี่ยนสถานะเป็น In Progress</t>
        </is>
      </c>
    </row>
    <row r="62">
      <c r="A62" s="30" t="inlineStr">
        <is>
          <t>STL-0009-5</t>
        </is>
      </c>
      <c r="B62" s="30" t="inlineStr">
        <is>
          <t>WO-2026-0009</t>
        </is>
      </c>
      <c r="C62" s="33" t="n">
        <v>46270.85416666666</v>
      </c>
      <c r="D62" s="30" t="inlineStr">
        <is>
          <t>In Progress</t>
        </is>
      </c>
      <c r="E62" s="30" t="inlineStr">
        <is>
          <t>Completed</t>
        </is>
      </c>
      <c r="F62" s="30" t="inlineStr">
        <is>
          <t>somchai@example.com</t>
        </is>
      </c>
      <c r="G62" s="30" t="inlineStr">
        <is>
          <t>เปลี่ยนสถานะเป็น Completed</t>
        </is>
      </c>
    </row>
    <row r="63">
      <c r="A63" s="30" t="inlineStr">
        <is>
          <t>STL-0009-6</t>
        </is>
      </c>
      <c r="B63" s="30" t="inlineStr">
        <is>
          <t>WO-2026-0009</t>
        </is>
      </c>
      <c r="C63" s="33" t="n">
        <v>46270.88541666666</v>
      </c>
      <c r="D63" s="30" t="inlineStr">
        <is>
          <t>Completed</t>
        </is>
      </c>
      <c r="E63" s="30" t="inlineStr">
        <is>
          <t>Verified</t>
        </is>
      </c>
      <c r="F63" s="30" t="inlineStr">
        <is>
          <t>suree@example.com</t>
        </is>
      </c>
      <c r="G63" s="30" t="inlineStr">
        <is>
          <t>เปลี่ยนสถานะเป็น Verified</t>
        </is>
      </c>
    </row>
    <row r="64">
      <c r="A64" s="30" t="inlineStr">
        <is>
          <t>STL-0009-7</t>
        </is>
      </c>
      <c r="B64" s="30" t="inlineStr">
        <is>
          <t>WO-2026-0009</t>
        </is>
      </c>
      <c r="C64" s="33" t="n">
        <v>46270.89583333334</v>
      </c>
      <c r="D64" s="30" t="inlineStr">
        <is>
          <t>Verified</t>
        </is>
      </c>
      <c r="E64" s="30" t="inlineStr">
        <is>
          <t>Closed</t>
        </is>
      </c>
      <c r="F64" s="30" t="inlineStr">
        <is>
          <t>kitti@example.com</t>
        </is>
      </c>
      <c r="G64" s="30" t="inlineStr">
        <is>
          <t>เปลี่ยนสถานะเป็น Closed</t>
        </is>
      </c>
    </row>
    <row r="65">
      <c r="A65" s="30" t="inlineStr">
        <is>
          <t>STL-0010-1</t>
        </is>
      </c>
      <c r="B65" s="30" t="inlineStr">
        <is>
          <t>WO-2026-0010</t>
        </is>
      </c>
      <c r="C65" s="33" t="n">
        <v>46287.46875</v>
      </c>
      <c r="D65" s="30" t="inlineStr"/>
      <c r="E65" s="30" t="inlineStr">
        <is>
          <t>New</t>
        </is>
      </c>
      <c r="F65" s="30" t="inlineStr">
        <is>
          <t>anant@example.com</t>
        </is>
      </c>
      <c r="G65" s="30" t="inlineStr">
        <is>
          <t>สร้างใบงาน</t>
        </is>
      </c>
    </row>
    <row r="66">
      <c r="A66" s="30" t="inlineStr">
        <is>
          <t>STL-0010-2</t>
        </is>
      </c>
      <c r="B66" s="30" t="inlineStr">
        <is>
          <t>WO-2026-0010</t>
        </is>
      </c>
      <c r="C66" s="33" t="n">
        <v>46287.47222222222</v>
      </c>
      <c r="D66" s="30" t="inlineStr">
        <is>
          <t>New</t>
        </is>
      </c>
      <c r="E66" s="30" t="inlineStr">
        <is>
          <t>Assigned</t>
        </is>
      </c>
      <c r="F66" s="30" t="inlineStr">
        <is>
          <t>kitti@example.com</t>
        </is>
      </c>
      <c r="G66" s="30" t="inlineStr">
        <is>
          <t>เปลี่ยนสถานะเป็น Assigned</t>
        </is>
      </c>
    </row>
    <row r="67">
      <c r="A67" s="30" t="inlineStr">
        <is>
          <t>STL-0010-3</t>
        </is>
      </c>
      <c r="B67" s="30" t="inlineStr">
        <is>
          <t>WO-2026-0010</t>
        </is>
      </c>
      <c r="C67" s="33" t="n">
        <v>46287.47916666666</v>
      </c>
      <c r="D67" s="30" t="inlineStr">
        <is>
          <t>Assigned</t>
        </is>
      </c>
      <c r="E67" s="30" t="inlineStr">
        <is>
          <t>Accepted</t>
        </is>
      </c>
      <c r="F67" s="30" t="inlineStr">
        <is>
          <t>aree@example.com</t>
        </is>
      </c>
      <c r="G67" s="30" t="inlineStr">
        <is>
          <t>เปลี่ยนสถานะเป็น Accepted</t>
        </is>
      </c>
    </row>
    <row r="68">
      <c r="A68" s="30" t="inlineStr">
        <is>
          <t>STL-0010-4</t>
        </is>
      </c>
      <c r="B68" s="30" t="inlineStr">
        <is>
          <t>WO-2026-0010</t>
        </is>
      </c>
      <c r="C68" s="33" t="n">
        <v>46287.48958333334</v>
      </c>
      <c r="D68" s="30" t="inlineStr">
        <is>
          <t>Accepted</t>
        </is>
      </c>
      <c r="E68" s="30" t="inlineStr">
        <is>
          <t>In Progress</t>
        </is>
      </c>
      <c r="F68" s="30" t="inlineStr">
        <is>
          <t>aree@example.com</t>
        </is>
      </c>
      <c r="G68" s="30" t="inlineStr">
        <is>
          <t>เปลี่ยนสถานะเป็น In Progress</t>
        </is>
      </c>
    </row>
    <row r="69">
      <c r="A69" s="30" t="inlineStr">
        <is>
          <t>STL-0010-5</t>
        </is>
      </c>
      <c r="B69" s="30" t="inlineStr">
        <is>
          <t>WO-2026-0010</t>
        </is>
      </c>
      <c r="C69" s="33" t="n">
        <v>46287.5625</v>
      </c>
      <c r="D69" s="30" t="inlineStr">
        <is>
          <t>In Progress</t>
        </is>
      </c>
      <c r="E69" s="30" t="inlineStr">
        <is>
          <t>Completed</t>
        </is>
      </c>
      <c r="F69" s="30" t="inlineStr">
        <is>
          <t>aree@example.com</t>
        </is>
      </c>
      <c r="G69" s="30" t="inlineStr">
        <is>
          <t>เปลี่ยนสถานะเป็น Completed</t>
        </is>
      </c>
    </row>
    <row r="70">
      <c r="A70" s="30" t="inlineStr">
        <is>
          <t>STL-0010-6</t>
        </is>
      </c>
      <c r="B70" s="30" t="inlineStr">
        <is>
          <t>WO-2026-0010</t>
        </is>
      </c>
      <c r="C70" s="33" t="n">
        <v>46287.59375</v>
      </c>
      <c r="D70" s="30" t="inlineStr">
        <is>
          <t>Completed</t>
        </is>
      </c>
      <c r="E70" s="30" t="inlineStr">
        <is>
          <t>Verified</t>
        </is>
      </c>
      <c r="F70" s="30" t="inlineStr">
        <is>
          <t>anant@example.com</t>
        </is>
      </c>
      <c r="G70" s="30" t="inlineStr">
        <is>
          <t>เปลี่ยนสถานะเป็น Verified</t>
        </is>
      </c>
    </row>
    <row r="71">
      <c r="A71" s="30" t="inlineStr">
        <is>
          <t>STL-0010-7</t>
        </is>
      </c>
      <c r="B71" s="30" t="inlineStr">
        <is>
          <t>WO-2026-0010</t>
        </is>
      </c>
      <c r="C71" s="33" t="n">
        <v>46287.60416666666</v>
      </c>
      <c r="D71" s="30" t="inlineStr">
        <is>
          <t>Verified</t>
        </is>
      </c>
      <c r="E71" s="30" t="inlineStr">
        <is>
          <t>Closed</t>
        </is>
      </c>
      <c r="F71" s="30" t="inlineStr">
        <is>
          <t>kitti@example.com</t>
        </is>
      </c>
      <c r="G71" s="30" t="inlineStr">
        <is>
          <t>เปลี่ยนสถานะเป็น Closed</t>
        </is>
      </c>
    </row>
    <row r="72">
      <c r="A72" s="30" t="inlineStr">
        <is>
          <t>STL-0011-1</t>
        </is>
      </c>
      <c r="B72" s="30" t="inlineStr">
        <is>
          <t>WO-2026-0011</t>
        </is>
      </c>
      <c r="C72" s="33" t="n">
        <v>46299.33333333334</v>
      </c>
      <c r="D72" s="30" t="inlineStr"/>
      <c r="E72" s="30" t="inlineStr">
        <is>
          <t>New</t>
        </is>
      </c>
      <c r="F72" s="30" t="inlineStr">
        <is>
          <t>kamon@example.com</t>
        </is>
      </c>
      <c r="G72" s="30" t="inlineStr">
        <is>
          <t>สร้างใบงาน</t>
        </is>
      </c>
    </row>
    <row r="73">
      <c r="A73" s="30" t="inlineStr">
        <is>
          <t>STL-0011-2</t>
        </is>
      </c>
      <c r="B73" s="30" t="inlineStr">
        <is>
          <t>WO-2026-0011</t>
        </is>
      </c>
      <c r="C73" s="33" t="n">
        <v>46299.33680555555</v>
      </c>
      <c r="D73" s="30" t="inlineStr">
        <is>
          <t>New</t>
        </is>
      </c>
      <c r="E73" s="30" t="inlineStr">
        <is>
          <t>Assigned</t>
        </is>
      </c>
      <c r="F73" s="30" t="inlineStr">
        <is>
          <t>kitti@example.com</t>
        </is>
      </c>
      <c r="G73" s="30" t="inlineStr">
        <is>
          <t>เปลี่ยนสถานะเป็น Assigned</t>
        </is>
      </c>
    </row>
    <row r="74">
      <c r="A74" s="30" t="inlineStr">
        <is>
          <t>STL-0011-3</t>
        </is>
      </c>
      <c r="B74" s="30" t="inlineStr">
        <is>
          <t>WO-2026-0011</t>
        </is>
      </c>
      <c r="C74" s="33" t="n">
        <v>46299.34375</v>
      </c>
      <c r="D74" s="30" t="inlineStr">
        <is>
          <t>Assigned</t>
        </is>
      </c>
      <c r="E74" s="30" t="inlineStr">
        <is>
          <t>Accepted</t>
        </is>
      </c>
      <c r="F74" s="30" t="inlineStr">
        <is>
          <t>somchai@example.com</t>
        </is>
      </c>
      <c r="G74" s="30" t="inlineStr">
        <is>
          <t>เปลี่ยนสถานะเป็น Accepted</t>
        </is>
      </c>
    </row>
    <row r="75">
      <c r="A75" s="30" t="inlineStr">
        <is>
          <t>STL-0011-4</t>
        </is>
      </c>
      <c r="B75" s="30" t="inlineStr">
        <is>
          <t>WO-2026-0011</t>
        </is>
      </c>
      <c r="C75" s="33" t="n">
        <v>46299.35416666666</v>
      </c>
      <c r="D75" s="30" t="inlineStr">
        <is>
          <t>Accepted</t>
        </is>
      </c>
      <c r="E75" s="30" t="inlineStr">
        <is>
          <t>In Progress</t>
        </is>
      </c>
      <c r="F75" s="30" t="inlineStr">
        <is>
          <t>somchai@example.com</t>
        </is>
      </c>
      <c r="G75" s="30" t="inlineStr">
        <is>
          <t>เปลี่ยนสถานะเป็น In Progress</t>
        </is>
      </c>
    </row>
    <row r="76">
      <c r="A76" s="30" t="inlineStr">
        <is>
          <t>STL-0011-5</t>
        </is>
      </c>
      <c r="B76" s="30" t="inlineStr">
        <is>
          <t>WO-2026-0011</t>
        </is>
      </c>
      <c r="C76" s="33" t="n">
        <v>46299.4375</v>
      </c>
      <c r="D76" s="30" t="inlineStr">
        <is>
          <t>In Progress</t>
        </is>
      </c>
      <c r="E76" s="30" t="inlineStr">
        <is>
          <t>Completed</t>
        </is>
      </c>
      <c r="F76" s="30" t="inlineStr">
        <is>
          <t>somchai@example.com</t>
        </is>
      </c>
      <c r="G76" s="30" t="inlineStr">
        <is>
          <t>เปลี่ยนสถานะเป็น Completed</t>
        </is>
      </c>
    </row>
    <row r="77">
      <c r="A77" s="30" t="inlineStr">
        <is>
          <t>STL-0011-6</t>
        </is>
      </c>
      <c r="B77" s="30" t="inlineStr">
        <is>
          <t>WO-2026-0011</t>
        </is>
      </c>
      <c r="C77" s="33" t="n">
        <v>46299.46875</v>
      </c>
      <c r="D77" s="30" t="inlineStr">
        <is>
          <t>Completed</t>
        </is>
      </c>
      <c r="E77" s="30" t="inlineStr">
        <is>
          <t>Verified</t>
        </is>
      </c>
      <c r="F77" s="30" t="inlineStr">
        <is>
          <t>kamon@example.com</t>
        </is>
      </c>
      <c r="G77" s="30" t="inlineStr">
        <is>
          <t>เปลี่ยนสถานะเป็น Verified</t>
        </is>
      </c>
    </row>
    <row r="78">
      <c r="A78" s="30" t="inlineStr">
        <is>
          <t>STL-0011-7</t>
        </is>
      </c>
      <c r="B78" s="30" t="inlineStr">
        <is>
          <t>WO-2026-0011</t>
        </is>
      </c>
      <c r="C78" s="33" t="n">
        <v>46299.47916666666</v>
      </c>
      <c r="D78" s="30" t="inlineStr">
        <is>
          <t>Verified</t>
        </is>
      </c>
      <c r="E78" s="30" t="inlineStr">
        <is>
          <t>Closed</t>
        </is>
      </c>
      <c r="F78" s="30" t="inlineStr">
        <is>
          <t>kitti@example.com</t>
        </is>
      </c>
      <c r="G78" s="30" t="inlineStr">
        <is>
          <t>เปลี่ยนสถานะเป็น Closed</t>
        </is>
      </c>
    </row>
    <row r="79">
      <c r="A79" s="30" t="inlineStr">
        <is>
          <t>STL-0012-1</t>
        </is>
      </c>
      <c r="B79" s="30" t="inlineStr">
        <is>
          <t>WO-2026-0012</t>
        </is>
      </c>
      <c r="C79" s="33" t="n">
        <v>46307.29166666666</v>
      </c>
      <c r="D79" s="30" t="inlineStr"/>
      <c r="E79" s="30" t="inlineStr">
        <is>
          <t>New</t>
        </is>
      </c>
      <c r="F79" s="30" t="inlineStr">
        <is>
          <t>suree@example.com</t>
        </is>
      </c>
      <c r="G79" s="30" t="inlineStr">
        <is>
          <t>สร้างใบงาน</t>
        </is>
      </c>
    </row>
    <row r="80">
      <c r="A80" s="30" t="inlineStr">
        <is>
          <t>STL-0012-2</t>
        </is>
      </c>
      <c r="B80" s="30" t="inlineStr">
        <is>
          <t>WO-2026-0012</t>
        </is>
      </c>
      <c r="C80" s="33" t="n">
        <v>46307.29513888889</v>
      </c>
      <c r="D80" s="30" t="inlineStr">
        <is>
          <t>New</t>
        </is>
      </c>
      <c r="E80" s="30" t="inlineStr">
        <is>
          <t>Assigned</t>
        </is>
      </c>
      <c r="F80" s="30" t="inlineStr">
        <is>
          <t>kitti@example.com</t>
        </is>
      </c>
      <c r="G80" s="30" t="inlineStr">
        <is>
          <t>เปลี่ยนสถานะเป็น Assigned</t>
        </is>
      </c>
    </row>
    <row r="81">
      <c r="A81" s="30" t="inlineStr">
        <is>
          <t>STL-0012-3</t>
        </is>
      </c>
      <c r="B81" s="30" t="inlineStr">
        <is>
          <t>WO-2026-0012</t>
        </is>
      </c>
      <c r="C81" s="33" t="n">
        <v>46307.30208333334</v>
      </c>
      <c r="D81" s="30" t="inlineStr">
        <is>
          <t>Assigned</t>
        </is>
      </c>
      <c r="E81" s="30" t="inlineStr">
        <is>
          <t>Accepted</t>
        </is>
      </c>
      <c r="F81" s="30" t="inlineStr">
        <is>
          <t>wichai@example.com</t>
        </is>
      </c>
      <c r="G81" s="30" t="inlineStr">
        <is>
          <t>เปลี่ยนสถานะเป็น Accepted</t>
        </is>
      </c>
    </row>
    <row r="82">
      <c r="A82" s="30" t="inlineStr">
        <is>
          <t>STL-0012-4</t>
        </is>
      </c>
      <c r="B82" s="30" t="inlineStr">
        <is>
          <t>WO-2026-0012</t>
        </is>
      </c>
      <c r="C82" s="33" t="n">
        <v>46307.3125</v>
      </c>
      <c r="D82" s="30" t="inlineStr">
        <is>
          <t>Accepted</t>
        </is>
      </c>
      <c r="E82" s="30" t="inlineStr">
        <is>
          <t>In Progress</t>
        </is>
      </c>
      <c r="F82" s="30" t="inlineStr">
        <is>
          <t>wichai@example.com</t>
        </is>
      </c>
      <c r="G82" s="30" t="inlineStr">
        <is>
          <t>เปลี่ยนสถานะเป็น In Progress</t>
        </is>
      </c>
    </row>
    <row r="83">
      <c r="A83" s="30" t="inlineStr">
        <is>
          <t>STL-0012-5</t>
        </is>
      </c>
      <c r="B83" s="30" t="inlineStr">
        <is>
          <t>WO-2026-0012</t>
        </is>
      </c>
      <c r="C83" s="33" t="n">
        <v>46307.5</v>
      </c>
      <c r="D83" s="30" t="inlineStr">
        <is>
          <t>In Progress</t>
        </is>
      </c>
      <c r="E83" s="30" t="inlineStr">
        <is>
          <t>Completed</t>
        </is>
      </c>
      <c r="F83" s="30" t="inlineStr">
        <is>
          <t>wichai@example.com</t>
        </is>
      </c>
      <c r="G83" s="30" t="inlineStr">
        <is>
          <t>เปลี่ยนสถานะเป็น Completed</t>
        </is>
      </c>
    </row>
    <row r="84">
      <c r="A84" s="30" t="inlineStr">
        <is>
          <t>STL-0012-6</t>
        </is>
      </c>
      <c r="B84" s="30" t="inlineStr">
        <is>
          <t>WO-2026-0012</t>
        </is>
      </c>
      <c r="C84" s="33" t="n">
        <v>46307.53125</v>
      </c>
      <c r="D84" s="30" t="inlineStr">
        <is>
          <t>Completed</t>
        </is>
      </c>
      <c r="E84" s="30" t="inlineStr">
        <is>
          <t>Verified</t>
        </is>
      </c>
      <c r="F84" s="30" t="inlineStr">
        <is>
          <t>suree@example.com</t>
        </is>
      </c>
      <c r="G84" s="30" t="inlineStr">
        <is>
          <t>เปลี่ยนสถานะเป็น Verified</t>
        </is>
      </c>
    </row>
    <row r="85">
      <c r="A85" s="30" t="inlineStr">
        <is>
          <t>STL-0012-7</t>
        </is>
      </c>
      <c r="B85" s="30" t="inlineStr">
        <is>
          <t>WO-2026-0012</t>
        </is>
      </c>
      <c r="C85" s="33" t="n">
        <v>46307.54166666666</v>
      </c>
      <c r="D85" s="30" t="inlineStr">
        <is>
          <t>Verified</t>
        </is>
      </c>
      <c r="E85" s="30" t="inlineStr">
        <is>
          <t>Closed</t>
        </is>
      </c>
      <c r="F85" s="30" t="inlineStr">
        <is>
          <t>kitti@example.com</t>
        </is>
      </c>
      <c r="G85" s="30" t="inlineStr">
        <is>
          <t>เปลี่ยนสถานะเป็น Closed</t>
        </is>
      </c>
    </row>
    <row r="86">
      <c r="A86" s="30" t="inlineStr">
        <is>
          <t>STL-0013-1</t>
        </is>
      </c>
      <c r="B86" s="30" t="inlineStr">
        <is>
          <t>WO-2026-0013</t>
        </is>
      </c>
      <c r="C86" s="33" t="n">
        <v>46318.34375</v>
      </c>
      <c r="D86" s="30" t="inlineStr"/>
      <c r="E86" s="30" t="inlineStr">
        <is>
          <t>New</t>
        </is>
      </c>
      <c r="F86" s="30" t="inlineStr">
        <is>
          <t>anant@example.com</t>
        </is>
      </c>
      <c r="G86" s="30" t="inlineStr">
        <is>
          <t>สร้างใบงาน</t>
        </is>
      </c>
    </row>
    <row r="87">
      <c r="A87" s="30" t="inlineStr">
        <is>
          <t>STL-0014-1</t>
        </is>
      </c>
      <c r="B87" s="30" t="inlineStr">
        <is>
          <t>WO-2026-0014</t>
        </is>
      </c>
      <c r="C87" s="33" t="n">
        <v>46318.31944444445</v>
      </c>
      <c r="D87" s="30" t="inlineStr"/>
      <c r="E87" s="30" t="inlineStr">
        <is>
          <t>New</t>
        </is>
      </c>
      <c r="F87" s="30" t="inlineStr">
        <is>
          <t>kamon@example.com</t>
        </is>
      </c>
      <c r="G87" s="30" t="inlineStr">
        <is>
          <t>สร้างใบงาน</t>
        </is>
      </c>
    </row>
    <row r="88">
      <c r="A88" s="30" t="inlineStr">
        <is>
          <t>STL-0014-2</t>
        </is>
      </c>
      <c r="B88" s="30" t="inlineStr">
        <is>
          <t>WO-2026-0014</t>
        </is>
      </c>
      <c r="C88" s="33" t="n">
        <v>46318.32638888889</v>
      </c>
      <c r="D88" s="30" t="inlineStr">
        <is>
          <t>New</t>
        </is>
      </c>
      <c r="E88" s="30" t="inlineStr">
        <is>
          <t>Assigned</t>
        </is>
      </c>
      <c r="F88" s="30" t="inlineStr">
        <is>
          <t>kitti@example.com</t>
        </is>
      </c>
      <c r="G88" s="30" t="inlineStr">
        <is>
          <t>เปลี่ยนสถานะเป็น Assigned</t>
        </is>
      </c>
    </row>
    <row r="89">
      <c r="A89" s="30" t="inlineStr">
        <is>
          <t>STL-0015-1</t>
        </is>
      </c>
      <c r="B89" s="30" t="inlineStr">
        <is>
          <t>WO-2026-0015</t>
        </is>
      </c>
      <c r="C89" s="33" t="n">
        <v>46317.76388888889</v>
      </c>
      <c r="D89" s="30" t="inlineStr"/>
      <c r="E89" s="30" t="inlineStr">
        <is>
          <t>New</t>
        </is>
      </c>
      <c r="F89" s="30" t="inlineStr">
        <is>
          <t>suree@example.com</t>
        </is>
      </c>
      <c r="G89" s="30" t="inlineStr">
        <is>
          <t>สร้างใบงาน</t>
        </is>
      </c>
    </row>
    <row r="90">
      <c r="A90" s="30" t="inlineStr">
        <is>
          <t>STL-0015-2</t>
        </is>
      </c>
      <c r="B90" s="30" t="inlineStr">
        <is>
          <t>WO-2026-0015</t>
        </is>
      </c>
      <c r="C90" s="33" t="n">
        <v>46317.77083333334</v>
      </c>
      <c r="D90" s="30" t="inlineStr">
        <is>
          <t>New</t>
        </is>
      </c>
      <c r="E90" s="30" t="inlineStr">
        <is>
          <t>Assigned</t>
        </is>
      </c>
      <c r="F90" s="30" t="inlineStr">
        <is>
          <t>kitti@example.com</t>
        </is>
      </c>
      <c r="G90" s="30" t="inlineStr">
        <is>
          <t>เปลี่ยนสถานะเป็น Assigned</t>
        </is>
      </c>
    </row>
    <row r="91">
      <c r="A91" s="30" t="inlineStr">
        <is>
          <t>STL-0015-3</t>
        </is>
      </c>
      <c r="B91" s="30" t="inlineStr">
        <is>
          <t>WO-2026-0015</t>
        </is>
      </c>
      <c r="C91" s="33" t="n">
        <v>46317.78125</v>
      </c>
      <c r="D91" s="30" t="inlineStr">
        <is>
          <t>Assigned</t>
        </is>
      </c>
      <c r="E91" s="30" t="inlineStr">
        <is>
          <t>Accepted</t>
        </is>
      </c>
      <c r="F91" s="30" t="inlineStr">
        <is>
          <t>somchai@example.com</t>
        </is>
      </c>
      <c r="G91" s="30" t="inlineStr">
        <is>
          <t>เปลี่ยนสถานะเป็น Accepted</t>
        </is>
      </c>
    </row>
    <row r="92">
      <c r="A92" s="30" t="inlineStr">
        <is>
          <t>STL-0015-4</t>
        </is>
      </c>
      <c r="B92" s="30" t="inlineStr">
        <is>
          <t>WO-2026-0015</t>
        </is>
      </c>
      <c r="C92" s="33" t="n">
        <v>46317.79166666666</v>
      </c>
      <c r="D92" s="30" t="inlineStr">
        <is>
          <t>Accepted</t>
        </is>
      </c>
      <c r="E92" s="30" t="inlineStr">
        <is>
          <t>In Progress</t>
        </is>
      </c>
      <c r="F92" s="30" t="inlineStr">
        <is>
          <t>somchai@example.com</t>
        </is>
      </c>
      <c r="G92" s="30" t="inlineStr">
        <is>
          <t>เปลี่ยนสถานะเป็น In Progress</t>
        </is>
      </c>
    </row>
    <row r="93">
      <c r="A93" s="30" t="inlineStr">
        <is>
          <t>STL-0016-1</t>
        </is>
      </c>
      <c r="B93" s="30" t="inlineStr">
        <is>
          <t>WO-2026-0016</t>
        </is>
      </c>
      <c r="C93" s="33" t="n">
        <v>46317.41666666666</v>
      </c>
      <c r="D93" s="30" t="inlineStr"/>
      <c r="E93" s="30" t="inlineStr">
        <is>
          <t>New</t>
        </is>
      </c>
      <c r="F93" s="30" t="inlineStr">
        <is>
          <t>anant@example.com</t>
        </is>
      </c>
      <c r="G93" s="30" t="inlineStr">
        <is>
          <t>สร้างใบงาน</t>
        </is>
      </c>
    </row>
    <row r="94">
      <c r="A94" s="30" t="inlineStr">
        <is>
          <t>STL-0016-2</t>
        </is>
      </c>
      <c r="B94" s="30" t="inlineStr">
        <is>
          <t>WO-2026-0016</t>
        </is>
      </c>
      <c r="C94" s="33" t="n">
        <v>46317.42361111111</v>
      </c>
      <c r="D94" s="30" t="inlineStr">
        <is>
          <t>New</t>
        </is>
      </c>
      <c r="E94" s="30" t="inlineStr">
        <is>
          <t>Assigned</t>
        </is>
      </c>
      <c r="F94" s="30" t="inlineStr">
        <is>
          <t>kitti@example.com</t>
        </is>
      </c>
      <c r="G94" s="30" t="inlineStr">
        <is>
          <t>เปลี่ยนสถานะเป็น Assigned</t>
        </is>
      </c>
    </row>
    <row r="95">
      <c r="A95" s="30" t="inlineStr">
        <is>
          <t>STL-0016-3</t>
        </is>
      </c>
      <c r="B95" s="30" t="inlineStr">
        <is>
          <t>WO-2026-0016</t>
        </is>
      </c>
      <c r="C95" s="33" t="n">
        <v>46317.43402777778</v>
      </c>
      <c r="D95" s="30" t="inlineStr">
        <is>
          <t>Assigned</t>
        </is>
      </c>
      <c r="E95" s="30" t="inlineStr">
        <is>
          <t>Accepted</t>
        </is>
      </c>
      <c r="F95" s="30" t="inlineStr">
        <is>
          <t>somying@example.com</t>
        </is>
      </c>
      <c r="G95" s="30" t="inlineStr">
        <is>
          <t>เปลี่ยนสถานะเป็น Accepted</t>
        </is>
      </c>
    </row>
    <row r="96">
      <c r="A96" s="30" t="inlineStr">
        <is>
          <t>STL-0016-4</t>
        </is>
      </c>
      <c r="B96" s="30" t="inlineStr">
        <is>
          <t>WO-2026-0016</t>
        </is>
      </c>
      <c r="C96" s="33" t="n">
        <v>46317.44444444445</v>
      </c>
      <c r="D96" s="30" t="inlineStr">
        <is>
          <t>Accepted</t>
        </is>
      </c>
      <c r="E96" s="30" t="inlineStr">
        <is>
          <t>In Progress</t>
        </is>
      </c>
      <c r="F96" s="30" t="inlineStr">
        <is>
          <t>somying@example.com</t>
        </is>
      </c>
      <c r="G96" s="30" t="inlineStr">
        <is>
          <t>เปลี่ยนสถานะเป็น In Progress</t>
        </is>
      </c>
    </row>
    <row r="97">
      <c r="A97" s="30" t="inlineStr">
        <is>
          <t>STL-0016-5</t>
        </is>
      </c>
      <c r="B97" s="30" t="inlineStr">
        <is>
          <t>WO-2026-0016</t>
        </is>
      </c>
      <c r="C97" s="33" t="n">
        <v>46318.375</v>
      </c>
      <c r="D97" s="30" t="inlineStr">
        <is>
          <t>In Progress</t>
        </is>
      </c>
      <c r="E97" s="30" t="inlineStr">
        <is>
          <t>Waiting Parts</t>
        </is>
      </c>
      <c r="F97" s="30" t="inlineStr">
        <is>
          <t>somying@example.com</t>
        </is>
      </c>
      <c r="G97" s="30" t="inlineStr">
        <is>
          <t>เปลี่ยนสถานะเป็น Waiting Parts</t>
        </is>
      </c>
    </row>
  </sheetData>
  <autoFilter ref="A1:G97"/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CBD5E1"/>
    <outlinePr summaryBelow="1" summaryRight="1"/>
    <pageSetUpPr fitToPage="1"/>
  </sheetPr>
  <dimension ref="A1:F6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2" customWidth="1" min="4" max="4"/>
    <col width="10" customWidth="1" min="5" max="5"/>
    <col width="38" customWidth="1" min="6" max="6"/>
  </cols>
  <sheetData>
    <row r="1" ht="32" customHeight="1">
      <c r="A1" s="29" t="inlineStr">
        <is>
          <t>SettingID</t>
        </is>
      </c>
      <c r="B1" s="29" t="inlineStr">
        <is>
          <t>SettingType</t>
        </is>
      </c>
      <c r="C1" s="29" t="inlineStr">
        <is>
          <t>SettingValue</t>
        </is>
      </c>
      <c r="D1" s="29" t="inlineStr">
        <is>
          <t>SortOrder</t>
        </is>
      </c>
      <c r="E1" s="29" t="inlineStr">
        <is>
          <t>Active</t>
        </is>
      </c>
      <c r="F1" s="29" t="inlineStr">
        <is>
          <t>DescriptionTH</t>
        </is>
      </c>
    </row>
    <row r="2">
      <c r="A2" s="30" t="inlineStr">
        <is>
          <t>SET-001</t>
        </is>
      </c>
      <c r="B2" s="30" t="inlineStr">
        <is>
          <t>ProblemCategory</t>
        </is>
      </c>
      <c r="C2" s="30" t="inlineStr">
        <is>
          <t>Mechanical</t>
        </is>
      </c>
      <c r="D2" s="30" t="n">
        <v>1</v>
      </c>
      <c r="E2" s="30" t="b">
        <v>1</v>
      </c>
      <c r="F2" s="30" t="inlineStr"/>
    </row>
    <row r="3">
      <c r="A3" s="30" t="inlineStr">
        <is>
          <t>SET-002</t>
        </is>
      </c>
      <c r="B3" s="30" t="inlineStr">
        <is>
          <t>ProblemCategory</t>
        </is>
      </c>
      <c r="C3" s="30" t="inlineStr">
        <is>
          <t>Electrical</t>
        </is>
      </c>
      <c r="D3" s="30" t="n">
        <v>2</v>
      </c>
      <c r="E3" s="30" t="b">
        <v>1</v>
      </c>
      <c r="F3" s="30" t="inlineStr"/>
    </row>
    <row r="4">
      <c r="A4" s="30" t="inlineStr">
        <is>
          <t>SET-003</t>
        </is>
      </c>
      <c r="B4" s="30" t="inlineStr">
        <is>
          <t>ProblemCategory</t>
        </is>
      </c>
      <c r="C4" s="30" t="inlineStr">
        <is>
          <t>Hydraulic</t>
        </is>
      </c>
      <c r="D4" s="30" t="n">
        <v>3</v>
      </c>
      <c r="E4" s="30" t="b">
        <v>1</v>
      </c>
      <c r="F4" s="30" t="inlineStr"/>
    </row>
    <row r="5">
      <c r="A5" s="30" t="inlineStr">
        <is>
          <t>SET-004</t>
        </is>
      </c>
      <c r="B5" s="30" t="inlineStr">
        <is>
          <t>ProblemCategory</t>
        </is>
      </c>
      <c r="C5" s="30" t="inlineStr">
        <is>
          <t>Pneumatic</t>
        </is>
      </c>
      <c r="D5" s="30" t="n">
        <v>4</v>
      </c>
      <c r="E5" s="30" t="b">
        <v>1</v>
      </c>
      <c r="F5" s="30" t="inlineStr"/>
    </row>
    <row r="6">
      <c r="A6" s="30" t="inlineStr">
        <is>
          <t>SET-005</t>
        </is>
      </c>
      <c r="B6" s="30" t="inlineStr">
        <is>
          <t>ProblemCategory</t>
        </is>
      </c>
      <c r="C6" s="30" t="inlineStr">
        <is>
          <t>Automation</t>
        </is>
      </c>
      <c r="D6" s="30" t="n">
        <v>5</v>
      </c>
      <c r="E6" s="30" t="b">
        <v>1</v>
      </c>
      <c r="F6" s="30" t="inlineStr"/>
    </row>
    <row r="7">
      <c r="A7" s="30" t="inlineStr">
        <is>
          <t>SET-006</t>
        </is>
      </c>
      <c r="B7" s="30" t="inlineStr">
        <is>
          <t>ProblemCategory</t>
        </is>
      </c>
      <c r="C7" s="30" t="inlineStr">
        <is>
          <t>Software</t>
        </is>
      </c>
      <c r="D7" s="30" t="n">
        <v>6</v>
      </c>
      <c r="E7" s="30" t="b">
        <v>1</v>
      </c>
      <c r="F7" s="30" t="inlineStr"/>
    </row>
    <row r="8">
      <c r="A8" s="30" t="inlineStr">
        <is>
          <t>SET-007</t>
        </is>
      </c>
      <c r="B8" s="30" t="inlineStr">
        <is>
          <t>ProblemCategory</t>
        </is>
      </c>
      <c r="C8" s="30" t="inlineStr">
        <is>
          <t>Quality</t>
        </is>
      </c>
      <c r="D8" s="30" t="n">
        <v>7</v>
      </c>
      <c r="E8" s="30" t="b">
        <v>1</v>
      </c>
      <c r="F8" s="30" t="inlineStr"/>
    </row>
    <row r="9">
      <c r="A9" s="30" t="inlineStr">
        <is>
          <t>SET-008</t>
        </is>
      </c>
      <c r="B9" s="30" t="inlineStr">
        <is>
          <t>ProblemCategory</t>
        </is>
      </c>
      <c r="C9" s="30" t="inlineStr">
        <is>
          <t>Safety</t>
        </is>
      </c>
      <c r="D9" s="30" t="n">
        <v>8</v>
      </c>
      <c r="E9" s="30" t="b">
        <v>1</v>
      </c>
      <c r="F9" s="30" t="inlineStr"/>
    </row>
    <row r="10">
      <c r="A10" s="30" t="inlineStr">
        <is>
          <t>SET-009</t>
        </is>
      </c>
      <c r="B10" s="30" t="inlineStr">
        <is>
          <t>ProblemCategory</t>
        </is>
      </c>
      <c r="C10" s="30" t="inlineStr">
        <is>
          <t>Other</t>
        </is>
      </c>
      <c r="D10" s="30" t="n">
        <v>9</v>
      </c>
      <c r="E10" s="30" t="b">
        <v>1</v>
      </c>
      <c r="F10" s="30" t="inlineStr"/>
    </row>
    <row r="11">
      <c r="A11" s="30" t="inlineStr">
        <is>
          <t>SET-010</t>
        </is>
      </c>
      <c r="B11" s="30" t="inlineStr">
        <is>
          <t>Priority</t>
        </is>
      </c>
      <c r="C11" s="30" t="inlineStr">
        <is>
          <t>Critical</t>
        </is>
      </c>
      <c r="D11" s="30" t="n">
        <v>1</v>
      </c>
      <c r="E11" s="30" t="b">
        <v>1</v>
      </c>
      <c r="F11" s="30" t="inlineStr"/>
    </row>
    <row r="12">
      <c r="A12" s="30" t="inlineStr">
        <is>
          <t>SET-011</t>
        </is>
      </c>
      <c r="B12" s="30" t="inlineStr">
        <is>
          <t>Priority</t>
        </is>
      </c>
      <c r="C12" s="30" t="inlineStr">
        <is>
          <t>High</t>
        </is>
      </c>
      <c r="D12" s="30" t="n">
        <v>2</v>
      </c>
      <c r="E12" s="30" t="b">
        <v>1</v>
      </c>
      <c r="F12" s="30" t="inlineStr"/>
    </row>
    <row r="13">
      <c r="A13" s="30" t="inlineStr">
        <is>
          <t>SET-012</t>
        </is>
      </c>
      <c r="B13" s="30" t="inlineStr">
        <is>
          <t>Priority</t>
        </is>
      </c>
      <c r="C13" s="30" t="inlineStr">
        <is>
          <t>Medium</t>
        </is>
      </c>
      <c r="D13" s="30" t="n">
        <v>3</v>
      </c>
      <c r="E13" s="30" t="b">
        <v>1</v>
      </c>
      <c r="F13" s="30" t="inlineStr"/>
    </row>
    <row r="14">
      <c r="A14" s="30" t="inlineStr">
        <is>
          <t>SET-013</t>
        </is>
      </c>
      <c r="B14" s="30" t="inlineStr">
        <is>
          <t>Priority</t>
        </is>
      </c>
      <c r="C14" s="30" t="inlineStr">
        <is>
          <t>Low</t>
        </is>
      </c>
      <c r="D14" s="30" t="n">
        <v>4</v>
      </c>
      <c r="E14" s="30" t="b">
        <v>1</v>
      </c>
      <c r="F14" s="30" t="inlineStr"/>
    </row>
    <row r="15">
      <c r="A15" s="30" t="inlineStr">
        <is>
          <t>SET-014</t>
        </is>
      </c>
      <c r="B15" s="30" t="inlineStr">
        <is>
          <t>WorkOrderStatus</t>
        </is>
      </c>
      <c r="C15" s="30" t="inlineStr">
        <is>
          <t>New</t>
        </is>
      </c>
      <c r="D15" s="30" t="n">
        <v>1</v>
      </c>
      <c r="E15" s="30" t="b">
        <v>1</v>
      </c>
      <c r="F15" s="30" t="inlineStr"/>
    </row>
    <row r="16">
      <c r="A16" s="30" t="inlineStr">
        <is>
          <t>SET-015</t>
        </is>
      </c>
      <c r="B16" s="30" t="inlineStr">
        <is>
          <t>WorkOrderStatus</t>
        </is>
      </c>
      <c r="C16" s="30" t="inlineStr">
        <is>
          <t>Assigned</t>
        </is>
      </c>
      <c r="D16" s="30" t="n">
        <v>2</v>
      </c>
      <c r="E16" s="30" t="b">
        <v>1</v>
      </c>
      <c r="F16" s="30" t="inlineStr"/>
    </row>
    <row r="17">
      <c r="A17" s="30" t="inlineStr">
        <is>
          <t>SET-016</t>
        </is>
      </c>
      <c r="B17" s="30" t="inlineStr">
        <is>
          <t>WorkOrderStatus</t>
        </is>
      </c>
      <c r="C17" s="30" t="inlineStr">
        <is>
          <t>Accepted</t>
        </is>
      </c>
      <c r="D17" s="30" t="n">
        <v>3</v>
      </c>
      <c r="E17" s="30" t="b">
        <v>1</v>
      </c>
      <c r="F17" s="30" t="inlineStr"/>
    </row>
    <row r="18">
      <c r="A18" s="30" t="inlineStr">
        <is>
          <t>SET-017</t>
        </is>
      </c>
      <c r="B18" s="30" t="inlineStr">
        <is>
          <t>WorkOrderStatus</t>
        </is>
      </c>
      <c r="C18" s="30" t="inlineStr">
        <is>
          <t>In Progress</t>
        </is>
      </c>
      <c r="D18" s="30" t="n">
        <v>4</v>
      </c>
      <c r="E18" s="30" t="b">
        <v>1</v>
      </c>
      <c r="F18" s="30" t="inlineStr"/>
    </row>
    <row r="19">
      <c r="A19" s="30" t="inlineStr">
        <is>
          <t>SET-018</t>
        </is>
      </c>
      <c r="B19" s="30" t="inlineStr">
        <is>
          <t>WorkOrderStatus</t>
        </is>
      </c>
      <c r="C19" s="30" t="inlineStr">
        <is>
          <t>Waiting Parts</t>
        </is>
      </c>
      <c r="D19" s="30" t="n">
        <v>5</v>
      </c>
      <c r="E19" s="30" t="b">
        <v>1</v>
      </c>
      <c r="F19" s="30" t="inlineStr"/>
    </row>
    <row r="20">
      <c r="A20" s="30" t="inlineStr">
        <is>
          <t>SET-019</t>
        </is>
      </c>
      <c r="B20" s="30" t="inlineStr">
        <is>
          <t>WorkOrderStatus</t>
        </is>
      </c>
      <c r="C20" s="30" t="inlineStr">
        <is>
          <t>Completed</t>
        </is>
      </c>
      <c r="D20" s="30" t="n">
        <v>6</v>
      </c>
      <c r="E20" s="30" t="b">
        <v>1</v>
      </c>
      <c r="F20" s="30" t="inlineStr"/>
    </row>
    <row r="21">
      <c r="A21" s="30" t="inlineStr">
        <is>
          <t>SET-020</t>
        </is>
      </c>
      <c r="B21" s="30" t="inlineStr">
        <is>
          <t>WorkOrderStatus</t>
        </is>
      </c>
      <c r="C21" s="30" t="inlineStr">
        <is>
          <t>Verified</t>
        </is>
      </c>
      <c r="D21" s="30" t="n">
        <v>7</v>
      </c>
      <c r="E21" s="30" t="b">
        <v>1</v>
      </c>
      <c r="F21" s="30" t="inlineStr"/>
    </row>
    <row r="22">
      <c r="A22" s="30" t="inlineStr">
        <is>
          <t>SET-021</t>
        </is>
      </c>
      <c r="B22" s="30" t="inlineStr">
        <is>
          <t>WorkOrderStatus</t>
        </is>
      </c>
      <c r="C22" s="30" t="inlineStr">
        <is>
          <t>Closed</t>
        </is>
      </c>
      <c r="D22" s="30" t="n">
        <v>8</v>
      </c>
      <c r="E22" s="30" t="b">
        <v>1</v>
      </c>
      <c r="F22" s="30" t="inlineStr"/>
    </row>
    <row r="23">
      <c r="A23" s="30" t="inlineStr">
        <is>
          <t>SET-022</t>
        </is>
      </c>
      <c r="B23" s="30" t="inlineStr">
        <is>
          <t>WorkOrderStatus</t>
        </is>
      </c>
      <c r="C23" s="30" t="inlineStr">
        <is>
          <t>Cancelled</t>
        </is>
      </c>
      <c r="D23" s="30" t="n">
        <v>9</v>
      </c>
      <c r="E23" s="30" t="b">
        <v>1</v>
      </c>
      <c r="F23" s="30" t="inlineStr"/>
    </row>
    <row r="24">
      <c r="A24" s="30" t="inlineStr">
        <is>
          <t>SET-023</t>
        </is>
      </c>
      <c r="B24" s="30" t="inlineStr">
        <is>
          <t>AssignmentRole</t>
        </is>
      </c>
      <c r="C24" s="30" t="inlineStr">
        <is>
          <t>Lead</t>
        </is>
      </c>
      <c r="D24" s="30" t="n">
        <v>1</v>
      </c>
      <c r="E24" s="30" t="b">
        <v>1</v>
      </c>
      <c r="F24" s="30" t="inlineStr"/>
    </row>
    <row r="25">
      <c r="A25" s="30" t="inlineStr">
        <is>
          <t>SET-024</t>
        </is>
      </c>
      <c r="B25" s="30" t="inlineStr">
        <is>
          <t>AssignmentRole</t>
        </is>
      </c>
      <c r="C25" s="30" t="inlineStr">
        <is>
          <t>Assistant</t>
        </is>
      </c>
      <c r="D25" s="30" t="n">
        <v>2</v>
      </c>
      <c r="E25" s="30" t="b">
        <v>1</v>
      </c>
      <c r="F25" s="30" t="inlineStr"/>
    </row>
    <row r="26">
      <c r="A26" s="30" t="inlineStr">
        <is>
          <t>SET-025</t>
        </is>
      </c>
      <c r="B26" s="30" t="inlineStr">
        <is>
          <t>AssignmentRole</t>
        </is>
      </c>
      <c r="C26" s="30" t="inlineStr">
        <is>
          <t>Specialist</t>
        </is>
      </c>
      <c r="D26" s="30" t="n">
        <v>3</v>
      </c>
      <c r="E26" s="30" t="b">
        <v>1</v>
      </c>
      <c r="F26" s="30" t="inlineStr"/>
    </row>
    <row r="27">
      <c r="A27" s="30" t="inlineStr">
        <is>
          <t>SET-026</t>
        </is>
      </c>
      <c r="B27" s="30" t="inlineStr">
        <is>
          <t>AssignmentStatus</t>
        </is>
      </c>
      <c r="C27" s="30" t="inlineStr">
        <is>
          <t>Assigned</t>
        </is>
      </c>
      <c r="D27" s="30" t="n">
        <v>1</v>
      </c>
      <c r="E27" s="30" t="b">
        <v>1</v>
      </c>
      <c r="F27" s="30" t="inlineStr"/>
    </row>
    <row r="28">
      <c r="A28" s="30" t="inlineStr">
        <is>
          <t>SET-027</t>
        </is>
      </c>
      <c r="B28" s="30" t="inlineStr">
        <is>
          <t>AssignmentStatus</t>
        </is>
      </c>
      <c r="C28" s="30" t="inlineStr">
        <is>
          <t>Accepted</t>
        </is>
      </c>
      <c r="D28" s="30" t="n">
        <v>2</v>
      </c>
      <c r="E28" s="30" t="b">
        <v>1</v>
      </c>
      <c r="F28" s="30" t="inlineStr"/>
    </row>
    <row r="29">
      <c r="A29" s="30" t="inlineStr">
        <is>
          <t>SET-028</t>
        </is>
      </c>
      <c r="B29" s="30" t="inlineStr">
        <is>
          <t>AssignmentStatus</t>
        </is>
      </c>
      <c r="C29" s="30" t="inlineStr">
        <is>
          <t>Working</t>
        </is>
      </c>
      <c r="D29" s="30" t="n">
        <v>3</v>
      </c>
      <c r="E29" s="30" t="b">
        <v>1</v>
      </c>
      <c r="F29" s="30" t="inlineStr"/>
    </row>
    <row r="30">
      <c r="A30" s="30" t="inlineStr">
        <is>
          <t>SET-029</t>
        </is>
      </c>
      <c r="B30" s="30" t="inlineStr">
        <is>
          <t>AssignmentStatus</t>
        </is>
      </c>
      <c r="C30" s="30" t="inlineStr">
        <is>
          <t>Paused</t>
        </is>
      </c>
      <c r="D30" s="30" t="n">
        <v>4</v>
      </c>
      <c r="E30" s="30" t="b">
        <v>1</v>
      </c>
      <c r="F30" s="30" t="inlineStr"/>
    </row>
    <row r="31">
      <c r="A31" s="30" t="inlineStr">
        <is>
          <t>SET-030</t>
        </is>
      </c>
      <c r="B31" s="30" t="inlineStr">
        <is>
          <t>AssignmentStatus</t>
        </is>
      </c>
      <c r="C31" s="30" t="inlineStr">
        <is>
          <t>Finished</t>
        </is>
      </c>
      <c r="D31" s="30" t="n">
        <v>5</v>
      </c>
      <c r="E31" s="30" t="b">
        <v>1</v>
      </c>
      <c r="F31" s="30" t="inlineStr"/>
    </row>
    <row r="32">
      <c r="A32" s="30" t="inlineStr">
        <is>
          <t>SET-031</t>
        </is>
      </c>
      <c r="B32" s="30" t="inlineStr">
        <is>
          <t>AssignmentStatus</t>
        </is>
      </c>
      <c r="C32" s="30" t="inlineStr">
        <is>
          <t>Cancelled</t>
        </is>
      </c>
      <c r="D32" s="30" t="n">
        <v>6</v>
      </c>
      <c r="E32" s="30" t="b">
        <v>1</v>
      </c>
      <c r="F32" s="30" t="inlineStr"/>
    </row>
    <row r="33">
      <c r="A33" s="30" t="inlineStr">
        <is>
          <t>SET-032</t>
        </is>
      </c>
      <c r="B33" s="30" t="inlineStr">
        <is>
          <t>MachineStatus</t>
        </is>
      </c>
      <c r="C33" s="30" t="inlineStr">
        <is>
          <t>Running</t>
        </is>
      </c>
      <c r="D33" s="30" t="n">
        <v>1</v>
      </c>
      <c r="E33" s="30" t="b">
        <v>1</v>
      </c>
      <c r="F33" s="30" t="inlineStr"/>
    </row>
    <row r="34">
      <c r="A34" s="30" t="inlineStr">
        <is>
          <t>SET-033</t>
        </is>
      </c>
      <c r="B34" s="30" t="inlineStr">
        <is>
          <t>MachineStatus</t>
        </is>
      </c>
      <c r="C34" s="30" t="inlineStr">
        <is>
          <t>Standby</t>
        </is>
      </c>
      <c r="D34" s="30" t="n">
        <v>2</v>
      </c>
      <c r="E34" s="30" t="b">
        <v>1</v>
      </c>
      <c r="F34" s="30" t="inlineStr"/>
    </row>
    <row r="35">
      <c r="A35" s="30" t="inlineStr">
        <is>
          <t>SET-034</t>
        </is>
      </c>
      <c r="B35" s="30" t="inlineStr">
        <is>
          <t>MachineStatus</t>
        </is>
      </c>
      <c r="C35" s="30" t="inlineStr">
        <is>
          <t>Under Repair</t>
        </is>
      </c>
      <c r="D35" s="30" t="n">
        <v>3</v>
      </c>
      <c r="E35" s="30" t="b">
        <v>1</v>
      </c>
      <c r="F35" s="30" t="inlineStr"/>
    </row>
    <row r="36">
      <c r="A36" s="30" t="inlineStr">
        <is>
          <t>SET-035</t>
        </is>
      </c>
      <c r="B36" s="30" t="inlineStr">
        <is>
          <t>MachineStatus</t>
        </is>
      </c>
      <c r="C36" s="30" t="inlineStr">
        <is>
          <t>Out of Service</t>
        </is>
      </c>
      <c r="D36" s="30" t="n">
        <v>4</v>
      </c>
      <c r="E36" s="30" t="b">
        <v>1</v>
      </c>
      <c r="F36" s="30" t="inlineStr"/>
    </row>
    <row r="37">
      <c r="A37" s="30" t="inlineStr">
        <is>
          <t>SET-036</t>
        </is>
      </c>
      <c r="B37" s="30" t="inlineStr">
        <is>
          <t>Criticality</t>
        </is>
      </c>
      <c r="C37" s="30" t="inlineStr">
        <is>
          <t>High</t>
        </is>
      </c>
      <c r="D37" s="30" t="n">
        <v>1</v>
      </c>
      <c r="E37" s="30" t="b">
        <v>1</v>
      </c>
      <c r="F37" s="30" t="inlineStr"/>
    </row>
    <row r="38">
      <c r="A38" s="30" t="inlineStr">
        <is>
          <t>SET-037</t>
        </is>
      </c>
      <c r="B38" s="30" t="inlineStr">
        <is>
          <t>Criticality</t>
        </is>
      </c>
      <c r="C38" s="30" t="inlineStr">
        <is>
          <t>Medium</t>
        </is>
      </c>
      <c r="D38" s="30" t="n">
        <v>2</v>
      </c>
      <c r="E38" s="30" t="b">
        <v>1</v>
      </c>
      <c r="F38" s="30" t="inlineStr"/>
    </row>
    <row r="39">
      <c r="A39" s="30" t="inlineStr">
        <is>
          <t>SET-038</t>
        </is>
      </c>
      <c r="B39" s="30" t="inlineStr">
        <is>
          <t>Criticality</t>
        </is>
      </c>
      <c r="C39" s="30" t="inlineStr">
        <is>
          <t>Low</t>
        </is>
      </c>
      <c r="D39" s="30" t="n">
        <v>3</v>
      </c>
      <c r="E39" s="30" t="b">
        <v>1</v>
      </c>
      <c r="F39" s="30" t="inlineStr"/>
    </row>
    <row r="40">
      <c r="A40" s="30" t="inlineStr">
        <is>
          <t>SET-039</t>
        </is>
      </c>
      <c r="B40" s="30" t="inlineStr">
        <is>
          <t>SkillGroup</t>
        </is>
      </c>
      <c r="C40" s="30" t="inlineStr">
        <is>
          <t>Mechanical</t>
        </is>
      </c>
      <c r="D40" s="30" t="n">
        <v>1</v>
      </c>
      <c r="E40" s="30" t="b">
        <v>1</v>
      </c>
      <c r="F40" s="30" t="inlineStr"/>
    </row>
    <row r="41">
      <c r="A41" s="30" t="inlineStr">
        <is>
          <t>SET-040</t>
        </is>
      </c>
      <c r="B41" s="30" t="inlineStr">
        <is>
          <t>SkillGroup</t>
        </is>
      </c>
      <c r="C41" s="30" t="inlineStr">
        <is>
          <t>Electrical</t>
        </is>
      </c>
      <c r="D41" s="30" t="n">
        <v>2</v>
      </c>
      <c r="E41" s="30" t="b">
        <v>1</v>
      </c>
      <c r="F41" s="30" t="inlineStr"/>
    </row>
    <row r="42">
      <c r="A42" s="30" t="inlineStr">
        <is>
          <t>SET-041</t>
        </is>
      </c>
      <c r="B42" s="30" t="inlineStr">
        <is>
          <t>SkillGroup</t>
        </is>
      </c>
      <c r="C42" s="30" t="inlineStr">
        <is>
          <t>Hydraulic</t>
        </is>
      </c>
      <c r="D42" s="30" t="n">
        <v>3</v>
      </c>
      <c r="E42" s="30" t="b">
        <v>1</v>
      </c>
      <c r="F42" s="30" t="inlineStr"/>
    </row>
    <row r="43">
      <c r="A43" s="30" t="inlineStr">
        <is>
          <t>SET-042</t>
        </is>
      </c>
      <c r="B43" s="30" t="inlineStr">
        <is>
          <t>SkillGroup</t>
        </is>
      </c>
      <c r="C43" s="30" t="inlineStr">
        <is>
          <t>Pneumatic</t>
        </is>
      </c>
      <c r="D43" s="30" t="n">
        <v>4</v>
      </c>
      <c r="E43" s="30" t="b">
        <v>1</v>
      </c>
      <c r="F43" s="30" t="inlineStr"/>
    </row>
    <row r="44">
      <c r="A44" s="30" t="inlineStr">
        <is>
          <t>SET-043</t>
        </is>
      </c>
      <c r="B44" s="30" t="inlineStr">
        <is>
          <t>SkillGroup</t>
        </is>
      </c>
      <c r="C44" s="30" t="inlineStr">
        <is>
          <t>Automation</t>
        </is>
      </c>
      <c r="D44" s="30" t="n">
        <v>5</v>
      </c>
      <c r="E44" s="30" t="b">
        <v>1</v>
      </c>
      <c r="F44" s="30" t="inlineStr"/>
    </row>
    <row r="45">
      <c r="A45" s="30" t="inlineStr">
        <is>
          <t>SET-044</t>
        </is>
      </c>
      <c r="B45" s="30" t="inlineStr">
        <is>
          <t>SkillGroup</t>
        </is>
      </c>
      <c r="C45" s="30" t="inlineStr">
        <is>
          <t>Software</t>
        </is>
      </c>
      <c r="D45" s="30" t="n">
        <v>6</v>
      </c>
      <c r="E45" s="30" t="b">
        <v>1</v>
      </c>
      <c r="F45" s="30" t="inlineStr"/>
    </row>
    <row r="46">
      <c r="A46" s="30" t="inlineStr">
        <is>
          <t>SET-045</t>
        </is>
      </c>
      <c r="B46" s="30" t="inlineStr">
        <is>
          <t>SkillGroup</t>
        </is>
      </c>
      <c r="C46" s="30" t="inlineStr">
        <is>
          <t>Management</t>
        </is>
      </c>
      <c r="D46" s="30" t="n">
        <v>7</v>
      </c>
      <c r="E46" s="30" t="b">
        <v>1</v>
      </c>
      <c r="F46" s="30" t="inlineStr"/>
    </row>
    <row r="47">
      <c r="A47" s="30" t="inlineStr">
        <is>
          <t>SET-046</t>
        </is>
      </c>
      <c r="B47" s="30" t="inlineStr">
        <is>
          <t>AppRole</t>
        </is>
      </c>
      <c r="C47" s="30" t="inlineStr">
        <is>
          <t>Admin</t>
        </is>
      </c>
      <c r="D47" s="30" t="n">
        <v>1</v>
      </c>
      <c r="E47" s="30" t="b">
        <v>1</v>
      </c>
      <c r="F47" s="30" t="inlineStr"/>
    </row>
    <row r="48">
      <c r="A48" s="30" t="inlineStr">
        <is>
          <t>SET-047</t>
        </is>
      </c>
      <c r="B48" s="30" t="inlineStr">
        <is>
          <t>AppRole</t>
        </is>
      </c>
      <c r="C48" s="30" t="inlineStr">
        <is>
          <t>Manager</t>
        </is>
      </c>
      <c r="D48" s="30" t="n">
        <v>2</v>
      </c>
      <c r="E48" s="30" t="b">
        <v>1</v>
      </c>
      <c r="F48" s="30" t="inlineStr"/>
    </row>
    <row r="49">
      <c r="A49" s="30" t="inlineStr">
        <is>
          <t>SET-048</t>
        </is>
      </c>
      <c r="B49" s="30" t="inlineStr">
        <is>
          <t>AppRole</t>
        </is>
      </c>
      <c r="C49" s="30" t="inlineStr">
        <is>
          <t>Technician</t>
        </is>
      </c>
      <c r="D49" s="30" t="n">
        <v>3</v>
      </c>
      <c r="E49" s="30" t="b">
        <v>1</v>
      </c>
      <c r="F49" s="30" t="inlineStr"/>
    </row>
    <row r="50">
      <c r="A50" s="30" t="inlineStr">
        <is>
          <t>SET-049</t>
        </is>
      </c>
      <c r="B50" s="30" t="inlineStr">
        <is>
          <t>AppRole</t>
        </is>
      </c>
      <c r="C50" s="30" t="inlineStr">
        <is>
          <t>Requester</t>
        </is>
      </c>
      <c r="D50" s="30" t="n">
        <v>4</v>
      </c>
      <c r="E50" s="30" t="b">
        <v>1</v>
      </c>
      <c r="F50" s="30" t="inlineStr"/>
    </row>
    <row r="51">
      <c r="A51" s="30" t="inlineStr">
        <is>
          <t>SET-050</t>
        </is>
      </c>
      <c r="B51" s="30" t="inlineStr">
        <is>
          <t>PartCategory</t>
        </is>
      </c>
      <c r="C51" s="30" t="inlineStr">
        <is>
          <t>Bearing</t>
        </is>
      </c>
      <c r="D51" s="30" t="n">
        <v>1</v>
      </c>
      <c r="E51" s="30" t="b">
        <v>1</v>
      </c>
      <c r="F51" s="30" t="inlineStr"/>
    </row>
    <row r="52">
      <c r="A52" s="30" t="inlineStr">
        <is>
          <t>SET-051</t>
        </is>
      </c>
      <c r="B52" s="30" t="inlineStr">
        <is>
          <t>PartCategory</t>
        </is>
      </c>
      <c r="C52" s="30" t="inlineStr">
        <is>
          <t>Belt</t>
        </is>
      </c>
      <c r="D52" s="30" t="n">
        <v>2</v>
      </c>
      <c r="E52" s="30" t="b">
        <v>1</v>
      </c>
      <c r="F52" s="30" t="inlineStr"/>
    </row>
    <row r="53">
      <c r="A53" s="30" t="inlineStr">
        <is>
          <t>SET-052</t>
        </is>
      </c>
      <c r="B53" s="30" t="inlineStr">
        <is>
          <t>PartCategory</t>
        </is>
      </c>
      <c r="C53" s="30" t="inlineStr">
        <is>
          <t>Valve</t>
        </is>
      </c>
      <c r="D53" s="30" t="n">
        <v>3</v>
      </c>
      <c r="E53" s="30" t="b">
        <v>1</v>
      </c>
      <c r="F53" s="30" t="inlineStr"/>
    </row>
    <row r="54">
      <c r="A54" s="30" t="inlineStr">
        <is>
          <t>SET-053</t>
        </is>
      </c>
      <c r="B54" s="30" t="inlineStr">
        <is>
          <t>PartCategory</t>
        </is>
      </c>
      <c r="C54" s="30" t="inlineStr">
        <is>
          <t>Lubricant</t>
        </is>
      </c>
      <c r="D54" s="30" t="n">
        <v>4</v>
      </c>
      <c r="E54" s="30" t="b">
        <v>1</v>
      </c>
      <c r="F54" s="30" t="inlineStr"/>
    </row>
    <row r="55">
      <c r="A55" s="30" t="inlineStr">
        <is>
          <t>SET-054</t>
        </is>
      </c>
      <c r="B55" s="30" t="inlineStr">
        <is>
          <t>PartCategory</t>
        </is>
      </c>
      <c r="C55" s="30" t="inlineStr">
        <is>
          <t>Sensor</t>
        </is>
      </c>
      <c r="D55" s="30" t="n">
        <v>5</v>
      </c>
      <c r="E55" s="30" t="b">
        <v>1</v>
      </c>
      <c r="F55" s="30" t="inlineStr"/>
    </row>
    <row r="56">
      <c r="A56" s="30" t="inlineStr">
        <is>
          <t>SET-055</t>
        </is>
      </c>
      <c r="B56" s="30" t="inlineStr">
        <is>
          <t>PartCategory</t>
        </is>
      </c>
      <c r="C56" s="30" t="inlineStr">
        <is>
          <t>Electrical</t>
        </is>
      </c>
      <c r="D56" s="30" t="n">
        <v>6</v>
      </c>
      <c r="E56" s="30" t="b">
        <v>1</v>
      </c>
      <c r="F56" s="30" t="inlineStr"/>
    </row>
    <row r="57">
      <c r="A57" s="30" t="inlineStr">
        <is>
          <t>SET-056</t>
        </is>
      </c>
      <c r="B57" s="30" t="inlineStr">
        <is>
          <t>PartCategory</t>
        </is>
      </c>
      <c r="C57" s="30" t="inlineStr">
        <is>
          <t>Seal</t>
        </is>
      </c>
      <c r="D57" s="30" t="n">
        <v>7</v>
      </c>
      <c r="E57" s="30" t="b">
        <v>1</v>
      </c>
      <c r="F57" s="30" t="inlineStr"/>
    </row>
    <row r="58">
      <c r="A58" s="30" t="inlineStr">
        <is>
          <t>SET-057</t>
        </is>
      </c>
      <c r="B58" s="30" t="inlineStr">
        <is>
          <t>PartCategory</t>
        </is>
      </c>
      <c r="C58" s="30" t="inlineStr">
        <is>
          <t>Filter</t>
        </is>
      </c>
      <c r="D58" s="30" t="n">
        <v>8</v>
      </c>
      <c r="E58" s="30" t="b">
        <v>1</v>
      </c>
      <c r="F58" s="30" t="inlineStr"/>
    </row>
    <row r="59">
      <c r="A59" s="30" t="inlineStr">
        <is>
          <t>SET-058</t>
        </is>
      </c>
      <c r="B59" s="30" t="inlineStr">
        <is>
          <t>PartCategory</t>
        </is>
      </c>
      <c r="C59" s="30" t="inlineStr">
        <is>
          <t>Other</t>
        </is>
      </c>
      <c r="D59" s="30" t="n">
        <v>9</v>
      </c>
      <c r="E59" s="30" t="b">
        <v>1</v>
      </c>
      <c r="F59" s="30" t="inlineStr"/>
    </row>
    <row r="60">
      <c r="A60" s="30" t="inlineStr">
        <is>
          <t>SET-059</t>
        </is>
      </c>
      <c r="B60" s="30" t="inlineStr">
        <is>
          <t>Unit</t>
        </is>
      </c>
      <c r="C60" s="30" t="inlineStr">
        <is>
          <t>ชิ้น</t>
        </is>
      </c>
      <c r="D60" s="30" t="n">
        <v>1</v>
      </c>
      <c r="E60" s="30" t="b">
        <v>1</v>
      </c>
      <c r="F60" s="30" t="inlineStr"/>
    </row>
    <row r="61">
      <c r="A61" s="30" t="inlineStr">
        <is>
          <t>SET-060</t>
        </is>
      </c>
      <c r="B61" s="30" t="inlineStr">
        <is>
          <t>Unit</t>
        </is>
      </c>
      <c r="C61" s="30" t="inlineStr">
        <is>
          <t>เส้น</t>
        </is>
      </c>
      <c r="D61" s="30" t="n">
        <v>2</v>
      </c>
      <c r="E61" s="30" t="b">
        <v>1</v>
      </c>
      <c r="F61" s="30" t="inlineStr"/>
    </row>
    <row r="62">
      <c r="A62" s="30" t="inlineStr">
        <is>
          <t>SET-061</t>
        </is>
      </c>
      <c r="B62" s="30" t="inlineStr">
        <is>
          <t>Unit</t>
        </is>
      </c>
      <c r="C62" s="30" t="inlineStr">
        <is>
          <t>ลิตร</t>
        </is>
      </c>
      <c r="D62" s="30" t="n">
        <v>3</v>
      </c>
      <c r="E62" s="30" t="b">
        <v>1</v>
      </c>
      <c r="F62" s="30" t="inlineStr"/>
    </row>
    <row r="63">
      <c r="A63" s="30" t="inlineStr">
        <is>
          <t>SET-062</t>
        </is>
      </c>
      <c r="B63" s="30" t="inlineStr">
        <is>
          <t>Unit</t>
        </is>
      </c>
      <c r="C63" s="30" t="inlineStr">
        <is>
          <t>ชุด</t>
        </is>
      </c>
      <c r="D63" s="30" t="n">
        <v>4</v>
      </c>
      <c r="E63" s="30" t="b">
        <v>1</v>
      </c>
      <c r="F63" s="30" t="inlineStr"/>
    </row>
    <row r="64">
      <c r="A64" s="30" t="inlineStr">
        <is>
          <t>SET-063</t>
        </is>
      </c>
      <c r="B64" s="30" t="inlineStr">
        <is>
          <t>Unit</t>
        </is>
      </c>
      <c r="C64" s="30" t="inlineStr">
        <is>
          <t>เมตร</t>
        </is>
      </c>
      <c r="D64" s="30" t="n">
        <v>5</v>
      </c>
      <c r="E64" s="30" t="b">
        <v>1</v>
      </c>
      <c r="F64" s="30" t="inlineStr"/>
    </row>
    <row r="65">
      <c r="A65" s="30" t="inlineStr">
        <is>
          <t>SET-064</t>
        </is>
      </c>
      <c r="B65" s="30" t="inlineStr">
        <is>
          <t>Unit</t>
        </is>
      </c>
      <c r="C65" s="30" t="inlineStr">
        <is>
          <t>กิโลกรัม</t>
        </is>
      </c>
      <c r="D65" s="30" t="n">
        <v>6</v>
      </c>
      <c r="E65" s="30" t="b">
        <v>1</v>
      </c>
      <c r="F65" s="30" t="inlineStr"/>
    </row>
  </sheetData>
  <autoFilter ref="A1:F65"/>
  <dataValidations count="1">
    <dataValidation sqref="E2:E2000" showDropDown="0" showInputMessage="1" showErrorMessage="1" allowBlank="1" errorTitle="ข้อมูลไม่ถูกต้อง" error="กรุณาเลือกค่าจากรายการที่กำหนด" promptTitle="รายการเลือก" prompt="เลือกค่าจากรายการ" type="list">
      <formula1>=BooleanList</formula1>
    </dataValidation>
  </dataValidations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8B5CF6"/>
    <outlinePr summaryBelow="1" summaryRight="1"/>
    <pageSetUpPr fitToPage="1"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16" customWidth="1" min="4" max="4"/>
    <col width="8" customWidth="1" min="5" max="5"/>
    <col width="8" customWidth="1" min="6" max="6"/>
    <col width="18" customWidth="1" min="7" max="7"/>
    <col width="31" customWidth="1" min="8" max="8"/>
    <col width="82" customWidth="1" min="9" max="9"/>
    <col width="30" customWidth="1" min="10" max="10"/>
  </cols>
  <sheetData>
    <row r="1" ht="34" customHeight="1">
      <c r="A1" s="1" t="inlineStr">
        <is>
          <t>การตั้งค่า AppSheet</t>
        </is>
      </c>
    </row>
    <row r="2" ht="30" customHeight="1">
      <c r="A2" s="2" t="inlineStr">
        <is>
          <t>คัดลอก Initial value, App formula และ Valid If ไปยัง Data → Columns ของ AppSheet</t>
        </is>
      </c>
    </row>
    <row r="3">
      <c r="A3" s="20" t="inlineStr">
        <is>
          <t>Table</t>
        </is>
      </c>
      <c r="B3" s="20" t="inlineStr">
        <is>
          <t>Column</t>
        </is>
      </c>
      <c r="C3" s="20" t="inlineStr">
        <is>
          <t>คำอธิบายไทย</t>
        </is>
      </c>
      <c r="D3" s="20" t="inlineStr">
        <is>
          <t>Type</t>
        </is>
      </c>
      <c r="E3" s="20" t="inlineStr">
        <is>
          <t>Key</t>
        </is>
      </c>
      <c r="F3" s="20" t="inlineStr">
        <is>
          <t>Label</t>
        </is>
      </c>
      <c r="G3" s="20" t="inlineStr">
        <is>
          <t>Ref table</t>
        </is>
      </c>
      <c r="H3" s="20" t="inlineStr">
        <is>
          <t>Initial value</t>
        </is>
      </c>
      <c r="I3" s="20" t="inlineStr">
        <is>
          <t>App formula / Valid If</t>
        </is>
      </c>
      <c r="J3" s="20" t="inlineStr">
        <is>
          <t>หมายเหตุ</t>
        </is>
      </c>
    </row>
    <row r="4">
      <c r="A4" s="5" t="inlineStr">
        <is>
          <t>Machines</t>
        </is>
      </c>
      <c r="B4" s="5" t="inlineStr">
        <is>
          <t>MachineID</t>
        </is>
      </c>
      <c r="C4" s="5" t="inlineStr">
        <is>
          <t>รหัสเครื่องภายใน</t>
        </is>
      </c>
      <c r="D4" s="5" t="inlineStr">
        <is>
          <t>Text</t>
        </is>
      </c>
      <c r="E4" s="5" t="inlineStr">
        <is>
          <t>Y</t>
        </is>
      </c>
      <c r="F4" s="5" t="inlineStr"/>
      <c r="G4" s="5" t="inlineStr"/>
      <c r="H4" s="5" t="inlineStr">
        <is>
          <t>UNIQUEID()</t>
        </is>
      </c>
      <c r="I4" s="5" t="inlineStr"/>
      <c r="J4" s="5" t="inlineStr"/>
    </row>
    <row r="5">
      <c r="A5" s="5" t="inlineStr">
        <is>
          <t>Machines</t>
        </is>
      </c>
      <c r="B5" s="5" t="inlineStr">
        <is>
          <t>MachineCode</t>
        </is>
      </c>
      <c r="C5" s="5" t="inlineStr">
        <is>
          <t>รหัสเครื่องหน้างาน</t>
        </is>
      </c>
      <c r="D5" s="5" t="inlineStr">
        <is>
          <t>Text</t>
        </is>
      </c>
      <c r="E5" s="5" t="inlineStr"/>
      <c r="F5" s="5" t="inlineStr">
        <is>
          <t>Y</t>
        </is>
      </c>
      <c r="G5" s="5" t="inlineStr"/>
      <c r="H5" s="5" t="inlineStr"/>
      <c r="I5" s="5" t="inlineStr"/>
      <c r="J5" s="5" t="inlineStr">
        <is>
          <t>ใช้ทำ QR/Barcode</t>
        </is>
      </c>
    </row>
    <row r="6">
      <c r="A6" s="5" t="inlineStr">
        <is>
          <t>Machines</t>
        </is>
      </c>
      <c r="B6" s="5" t="inlineStr">
        <is>
          <t>MachineNameTH</t>
        </is>
      </c>
      <c r="C6" s="5" t="inlineStr">
        <is>
          <t>ชื่อเครื่องจักร</t>
        </is>
      </c>
      <c r="D6" s="5" t="inlineStr">
        <is>
          <t>Name</t>
        </is>
      </c>
      <c r="E6" s="5" t="inlineStr"/>
      <c r="F6" s="5" t="inlineStr"/>
      <c r="G6" s="5" t="inlineStr"/>
      <c r="H6" s="5" t="inlineStr"/>
      <c r="I6" s="5" t="inlineStr"/>
      <c r="J6" s="5" t="inlineStr"/>
    </row>
    <row r="7">
      <c r="A7" s="5" t="inlineStr">
        <is>
          <t>Machines</t>
        </is>
      </c>
      <c r="B7" s="5" t="inlineStr">
        <is>
          <t>Criticality</t>
        </is>
      </c>
      <c r="C7" s="5" t="inlineStr">
        <is>
          <t>ความสำคัญ</t>
        </is>
      </c>
      <c r="D7" s="5" t="inlineStr">
        <is>
          <t>Enum</t>
        </is>
      </c>
      <c r="E7" s="5" t="inlineStr"/>
      <c r="F7" s="5" t="inlineStr"/>
      <c r="G7" s="5" t="inlineStr"/>
      <c r="H7" s="5" t="inlineStr"/>
      <c r="I7" s="5" t="inlineStr">
        <is>
          <t>SELECT(Settings[SettingValue],AND([SettingType]="Criticality",[Active]=TRUE))</t>
        </is>
      </c>
      <c r="J7" s="5" t="inlineStr"/>
    </row>
    <row r="8">
      <c r="A8" s="5" t="inlineStr">
        <is>
          <t>Machines</t>
        </is>
      </c>
      <c r="B8" s="5" t="inlineStr">
        <is>
          <t>MachineStatus</t>
        </is>
      </c>
      <c r="C8" s="5" t="inlineStr">
        <is>
          <t>สถานะเครื่อง</t>
        </is>
      </c>
      <c r="D8" s="5" t="inlineStr">
        <is>
          <t>Enum</t>
        </is>
      </c>
      <c r="E8" s="5" t="inlineStr"/>
      <c r="F8" s="5" t="inlineStr"/>
      <c r="G8" s="5" t="inlineStr"/>
      <c r="H8" s="5" t="inlineStr"/>
      <c r="I8" s="5" t="inlineStr">
        <is>
          <t>SELECT(Settings[SettingValue],AND([SettingType]="MachineStatus",[Active]=TRUE))</t>
        </is>
      </c>
      <c r="J8" s="5" t="inlineStr"/>
    </row>
    <row r="9">
      <c r="A9" s="5" t="inlineStr">
        <is>
          <t>Machines</t>
        </is>
      </c>
      <c r="B9" s="5" t="inlineStr">
        <is>
          <t>Image</t>
        </is>
      </c>
      <c r="C9" s="5" t="inlineStr">
        <is>
          <t>รูปเครื่อง</t>
        </is>
      </c>
      <c r="D9" s="5" t="inlineStr">
        <is>
          <t>Image</t>
        </is>
      </c>
      <c r="E9" s="5" t="inlineStr"/>
      <c r="F9" s="5" t="inlineStr"/>
      <c r="G9" s="5" t="inlineStr"/>
      <c r="H9" s="5" t="inlineStr"/>
      <c r="I9" s="5" t="inlineStr"/>
      <c r="J9" s="5" t="inlineStr"/>
    </row>
    <row r="10">
      <c r="A10" s="5" t="inlineStr">
        <is>
          <t>Machines</t>
        </is>
      </c>
      <c r="B10" s="5" t="inlineStr">
        <is>
          <t>Active</t>
        </is>
      </c>
      <c r="C10" s="5" t="inlineStr">
        <is>
          <t>ใช้งานอยู่</t>
        </is>
      </c>
      <c r="D10" s="5" t="inlineStr">
        <is>
          <t>Yes/No</t>
        </is>
      </c>
      <c r="E10" s="5" t="inlineStr"/>
      <c r="F10" s="5" t="inlineStr"/>
      <c r="G10" s="5" t="inlineStr"/>
      <c r="H10" s="5" t="inlineStr">
        <is>
          <t>TRUE</t>
        </is>
      </c>
      <c r="I10" s="5" t="inlineStr"/>
      <c r="J10" s="5" t="inlineStr"/>
    </row>
    <row r="11">
      <c r="A11" s="5" t="inlineStr">
        <is>
          <t>Technicians</t>
        </is>
      </c>
      <c r="B11" s="5" t="inlineStr">
        <is>
          <t>TechnicianID</t>
        </is>
      </c>
      <c r="C11" s="5" t="inlineStr">
        <is>
          <t>รหัสช่าง</t>
        </is>
      </c>
      <c r="D11" s="5" t="inlineStr">
        <is>
          <t>Text</t>
        </is>
      </c>
      <c r="E11" s="5" t="inlineStr">
        <is>
          <t>Y</t>
        </is>
      </c>
      <c r="F11" s="5" t="inlineStr"/>
      <c r="G11" s="5" t="inlineStr"/>
      <c r="H11" s="5" t="inlineStr">
        <is>
          <t>UNIQUEID()</t>
        </is>
      </c>
      <c r="I11" s="5" t="inlineStr"/>
      <c r="J11" s="5" t="inlineStr"/>
    </row>
    <row r="12">
      <c r="A12" s="5" t="inlineStr">
        <is>
          <t>Technicians</t>
        </is>
      </c>
      <c r="B12" s="5" t="inlineStr">
        <is>
          <t>FullNameTH</t>
        </is>
      </c>
      <c r="C12" s="5" t="inlineStr">
        <is>
          <t>ชื่อช่าง</t>
        </is>
      </c>
      <c r="D12" s="5" t="inlineStr">
        <is>
          <t>Name</t>
        </is>
      </c>
      <c r="E12" s="5" t="inlineStr"/>
      <c r="F12" s="5" t="inlineStr">
        <is>
          <t>Y</t>
        </is>
      </c>
      <c r="G12" s="5" t="inlineStr"/>
      <c r="H12" s="5" t="inlineStr"/>
      <c r="I12" s="5" t="inlineStr"/>
      <c r="J12" s="5" t="inlineStr"/>
    </row>
    <row r="13">
      <c r="A13" s="5" t="inlineStr">
        <is>
          <t>Technicians</t>
        </is>
      </c>
      <c r="B13" s="5" t="inlineStr">
        <is>
          <t>Email</t>
        </is>
      </c>
      <c r="C13" s="5" t="inlineStr">
        <is>
          <t>อีเมล</t>
        </is>
      </c>
      <c r="D13" s="5" t="inlineStr">
        <is>
          <t>Email</t>
        </is>
      </c>
      <c r="E13" s="5" t="inlineStr"/>
      <c r="F13" s="5" t="inlineStr"/>
      <c r="G13" s="5" t="inlineStr"/>
      <c r="H13" s="5" t="inlineStr"/>
      <c r="I13" s="5" t="inlineStr"/>
      <c r="J13" s="5" t="inlineStr">
        <is>
          <t>ต้องตรงบัญชีผู้ใช้</t>
        </is>
      </c>
    </row>
    <row r="14">
      <c r="A14" s="5" t="inlineStr">
        <is>
          <t>Technicians</t>
        </is>
      </c>
      <c r="B14" s="5" t="inlineStr">
        <is>
          <t>AppRole</t>
        </is>
      </c>
      <c r="C14" s="5" t="inlineStr">
        <is>
          <t>บทบาท</t>
        </is>
      </c>
      <c r="D14" s="5" t="inlineStr">
        <is>
          <t>Enum</t>
        </is>
      </c>
      <c r="E14" s="5" t="inlineStr"/>
      <c r="F14" s="5" t="inlineStr"/>
      <c r="G14" s="5" t="inlineStr"/>
      <c r="H14" s="5" t="inlineStr"/>
      <c r="I14" s="5" t="inlineStr">
        <is>
          <t>SELECT(Settings[SettingValue],AND([SettingType]="AppRole",[Active]=TRUE))</t>
        </is>
      </c>
      <c r="J14" s="5" t="inlineStr"/>
    </row>
    <row r="15">
      <c r="A15" s="5" t="inlineStr">
        <is>
          <t>WorkOrders</t>
        </is>
      </c>
      <c r="B15" s="5" t="inlineStr">
        <is>
          <t>WorkOrderID</t>
        </is>
      </c>
      <c r="C15" s="5" t="inlineStr">
        <is>
          <t>รหัสใบงาน</t>
        </is>
      </c>
      <c r="D15" s="5" t="inlineStr">
        <is>
          <t>Text</t>
        </is>
      </c>
      <c r="E15" s="5" t="inlineStr">
        <is>
          <t>Y</t>
        </is>
      </c>
      <c r="F15" s="5" t="inlineStr"/>
      <c r="G15" s="5" t="inlineStr"/>
      <c r="H15" s="5" t="inlineStr">
        <is>
          <t>UNIQUEID()</t>
        </is>
      </c>
      <c r="I15" s="5" t="inlineStr"/>
      <c r="J15" s="5" t="inlineStr"/>
    </row>
    <row r="16">
      <c r="A16" s="5" t="inlineStr">
        <is>
          <t>WorkOrders</t>
        </is>
      </c>
      <c r="B16" s="5" t="inlineStr">
        <is>
          <t>RequestDateTime</t>
        </is>
      </c>
      <c r="C16" s="5" t="inlineStr">
        <is>
          <t>เวลาแจ้ง</t>
        </is>
      </c>
      <c r="D16" s="5" t="inlineStr">
        <is>
          <t>DateTime</t>
        </is>
      </c>
      <c r="E16" s="5" t="inlineStr"/>
      <c r="F16" s="5" t="inlineStr"/>
      <c r="G16" s="5" t="inlineStr"/>
      <c r="H16" s="5" t="inlineStr">
        <is>
          <t>NOW()</t>
        </is>
      </c>
      <c r="I16" s="5" t="inlineStr"/>
      <c r="J16" s="5" t="inlineStr"/>
    </row>
    <row r="17">
      <c r="A17" s="5" t="inlineStr">
        <is>
          <t>WorkOrders</t>
        </is>
      </c>
      <c r="B17" s="5" t="inlineStr">
        <is>
          <t>RequesterEmail</t>
        </is>
      </c>
      <c r="C17" s="5" t="inlineStr">
        <is>
          <t>ผู้แจ้ง</t>
        </is>
      </c>
      <c r="D17" s="5" t="inlineStr">
        <is>
          <t>Email</t>
        </is>
      </c>
      <c r="E17" s="5" t="inlineStr"/>
      <c r="F17" s="5" t="inlineStr"/>
      <c r="G17" s="5" t="inlineStr"/>
      <c r="H17" s="5" t="inlineStr">
        <is>
          <t>USEREMAIL()</t>
        </is>
      </c>
      <c r="I17" s="5" t="inlineStr"/>
      <c r="J17" s="5" t="inlineStr"/>
    </row>
    <row r="18">
      <c r="A18" s="5" t="inlineStr">
        <is>
          <t>WorkOrders</t>
        </is>
      </c>
      <c r="B18" s="5" t="inlineStr">
        <is>
          <t>MachineID</t>
        </is>
      </c>
      <c r="C18" s="5" t="inlineStr">
        <is>
          <t>เครื่องจักร</t>
        </is>
      </c>
      <c r="D18" s="5" t="inlineStr">
        <is>
          <t>Ref</t>
        </is>
      </c>
      <c r="E18" s="5" t="inlineStr"/>
      <c r="F18" s="5" t="inlineStr"/>
      <c r="G18" s="5" t="inlineStr">
        <is>
          <t>Machines</t>
        </is>
      </c>
      <c r="H18" s="5" t="inlineStr"/>
      <c r="I18" s="5" t="inlineStr">
        <is>
          <t>SELECT(Machines[MachineID],[Active]=TRUE)</t>
        </is>
      </c>
      <c r="J18" s="5" t="inlineStr"/>
    </row>
    <row r="19">
      <c r="A19" s="5" t="inlineStr">
        <is>
          <t>WorkOrders</t>
        </is>
      </c>
      <c r="B19" s="5" t="inlineStr">
        <is>
          <t>Priority</t>
        </is>
      </c>
      <c r="C19" s="5" t="inlineStr">
        <is>
          <t>ความเร่งด่วน</t>
        </is>
      </c>
      <c r="D19" s="5" t="inlineStr">
        <is>
          <t>Enum</t>
        </is>
      </c>
      <c r="E19" s="5" t="inlineStr"/>
      <c r="F19" s="5" t="inlineStr"/>
      <c r="G19" s="5" t="inlineStr"/>
      <c r="H19" s="5" t="inlineStr"/>
      <c r="I19" s="5" t="inlineStr">
        <is>
          <t>SELECT(Settings[SettingValue],AND([SettingType]="Priority",[Active]=TRUE))</t>
        </is>
      </c>
      <c r="J19" s="5" t="inlineStr"/>
    </row>
    <row r="20">
      <c r="A20" s="5" t="inlineStr">
        <is>
          <t>WorkOrders</t>
        </is>
      </c>
      <c r="B20" s="5" t="inlineStr">
        <is>
          <t>WorkOrderStatus</t>
        </is>
      </c>
      <c r="C20" s="5" t="inlineStr">
        <is>
          <t>สถานะใบงาน</t>
        </is>
      </c>
      <c r="D20" s="5" t="inlineStr">
        <is>
          <t>Enum</t>
        </is>
      </c>
      <c r="E20" s="5" t="inlineStr"/>
      <c r="F20" s="5" t="inlineStr"/>
      <c r="G20" s="5" t="inlineStr"/>
      <c r="H20" s="5" t="inlineStr">
        <is>
          <t>"New"</t>
        </is>
      </c>
      <c r="I20" s="5" t="inlineStr">
        <is>
          <t>SELECT(Settings[SettingValue],AND([SettingType]="WorkOrderStatus",[Active]=TRUE))</t>
        </is>
      </c>
      <c r="J20" s="5" t="inlineStr"/>
    </row>
    <row r="21">
      <c r="A21" s="5" t="inlineStr">
        <is>
          <t>WorkOrders</t>
        </is>
      </c>
      <c r="B21" s="5" t="inlineStr">
        <is>
          <t>PrimaryTechnicianID</t>
        </is>
      </c>
      <c r="C21" s="5" t="inlineStr">
        <is>
          <t>ช่างหลัก</t>
        </is>
      </c>
      <c r="D21" s="5" t="inlineStr">
        <is>
          <t>Ref</t>
        </is>
      </c>
      <c r="E21" s="5" t="inlineStr"/>
      <c r="F21" s="5" t="inlineStr"/>
      <c r="G21" s="5" t="inlineStr">
        <is>
          <t>Technicians</t>
        </is>
      </c>
      <c r="H21" s="5" t="inlineStr"/>
      <c r="I21" s="5" t="inlineStr">
        <is>
          <t>SELECT(Technicians[TechnicianID],AND([Active]=TRUE,[AppRole]="Technician"))</t>
        </is>
      </c>
      <c r="J21" s="5" t="inlineStr"/>
    </row>
    <row r="22">
      <c r="A22" s="5" t="inlineStr">
        <is>
          <t>WorkOrders</t>
        </is>
      </c>
      <c r="B22" s="5" t="inlineStr">
        <is>
          <t>SLAHours</t>
        </is>
      </c>
      <c r="C22" s="5" t="inlineStr">
        <is>
          <t>SLA ชั่วโมง</t>
        </is>
      </c>
      <c r="D22" s="5" t="inlineStr">
        <is>
          <t>Number</t>
        </is>
      </c>
      <c r="E22" s="5" t="inlineStr"/>
      <c r="F22" s="5" t="inlineStr"/>
      <c r="G22" s="5" t="inlineStr"/>
      <c r="H22" s="5" t="inlineStr"/>
      <c r="I22" s="5" t="inlineStr">
        <is>
          <t>SWITCH([Priority],"Critical",4,"High",8,"Medium",24,"Low",72,24)</t>
        </is>
      </c>
      <c r="J22" s="5" t="inlineStr">
        <is>
          <t>App formula</t>
        </is>
      </c>
    </row>
    <row r="23">
      <c r="A23" s="5" t="inlineStr">
        <is>
          <t>WorkOrders</t>
        </is>
      </c>
      <c r="B23" s="5" t="inlineStr">
        <is>
          <t>DueAt</t>
        </is>
      </c>
      <c r="C23" s="5" t="inlineStr">
        <is>
          <t>กำหนดตาม SLA</t>
        </is>
      </c>
      <c r="D23" s="5" t="inlineStr">
        <is>
          <t>DateTime</t>
        </is>
      </c>
      <c r="E23" s="5" t="inlineStr"/>
      <c r="F23" s="5" t="inlineStr"/>
      <c r="G23" s="5" t="inlineStr"/>
      <c r="H23" s="5" t="inlineStr"/>
      <c r="I23" s="5" t="inlineStr">
        <is>
          <t>[RequestDateTime]+([SLAHours]/24.0)</t>
        </is>
      </c>
      <c r="J23" s="5" t="inlineStr">
        <is>
          <t>App formula</t>
        </is>
      </c>
    </row>
    <row r="24">
      <c r="A24" s="5" t="inlineStr">
        <is>
          <t>WorkOrders</t>
        </is>
      </c>
      <c r="B24" s="5" t="inlineStr">
        <is>
          <t>DowntimeMinutes</t>
        </is>
      </c>
      <c r="C24" s="5" t="inlineStr">
        <is>
          <t>เวลาหยุดเครื่อง</t>
        </is>
      </c>
      <c r="D24" s="5" t="inlineStr">
        <is>
          <t>Number</t>
        </is>
      </c>
      <c r="E24" s="5" t="inlineStr"/>
      <c r="F24" s="5" t="inlineStr"/>
      <c r="G24" s="5" t="inlineStr"/>
      <c r="H24" s="5" t="inlineStr"/>
      <c r="I24" s="5" t="inlineStr">
        <is>
          <t>IF(AND([MachineStopped],[StartedAt]&lt;&gt;""),ROUND(1440*(IF([CompletedAt]="",NOW(),[CompletedAt])-[StartedAt])),0)</t>
        </is>
      </c>
      <c r="J24" s="5" t="inlineStr">
        <is>
          <t>App formula</t>
        </is>
      </c>
    </row>
    <row r="25">
      <c r="A25" s="5" t="inlineStr">
        <is>
          <t>WorkOrders</t>
        </is>
      </c>
      <c r="B25" s="5" t="inlineStr">
        <is>
          <t>LaborCost</t>
        </is>
      </c>
      <c r="C25" s="5" t="inlineStr">
        <is>
          <t>ค่าแรง</t>
        </is>
      </c>
      <c r="D25" s="5" t="inlineStr">
        <is>
          <t>Price</t>
        </is>
      </c>
      <c r="E25" s="5" t="inlineStr"/>
      <c r="F25" s="5" t="inlineStr"/>
      <c r="G25" s="5" t="inlineStr"/>
      <c r="H25" s="5" t="inlineStr"/>
      <c r="I25" s="5" t="inlineStr">
        <is>
          <t>[LaborHours]*[PrimaryTechnicianID].[HourlyRate]</t>
        </is>
      </c>
      <c r="J25" s="5" t="inlineStr">
        <is>
          <t>App formula</t>
        </is>
      </c>
    </row>
    <row r="26">
      <c r="A26" s="5" t="inlineStr">
        <is>
          <t>WorkOrders</t>
        </is>
      </c>
      <c r="B26" s="5" t="inlineStr">
        <is>
          <t>PartsCost</t>
        </is>
      </c>
      <c r="C26" s="5" t="inlineStr">
        <is>
          <t>ค่าอะไหล่</t>
        </is>
      </c>
      <c r="D26" s="5" t="inlineStr">
        <is>
          <t>Price</t>
        </is>
      </c>
      <c r="E26" s="5" t="inlineStr"/>
      <c r="F26" s="5" t="inlineStr"/>
      <c r="G26" s="5" t="inlineStr"/>
      <c r="H26" s="5" t="inlineStr"/>
      <c r="I26" s="5" t="inlineStr">
        <is>
          <t>SUM(SELECT(PartUsage[LineTotal],[WorkOrderID]=[_THISROW].[WorkOrderID]))</t>
        </is>
      </c>
      <c r="J26" s="5" t="inlineStr">
        <is>
          <t>App formula</t>
        </is>
      </c>
    </row>
    <row r="27">
      <c r="A27" s="5" t="inlineStr">
        <is>
          <t>WorkOrders</t>
        </is>
      </c>
      <c r="B27" s="5" t="inlineStr">
        <is>
          <t>TotalCost</t>
        </is>
      </c>
      <c r="C27" s="5" t="inlineStr">
        <is>
          <t>ค่าใช้จ่ายรวม</t>
        </is>
      </c>
      <c r="D27" s="5" t="inlineStr">
        <is>
          <t>Price</t>
        </is>
      </c>
      <c r="E27" s="5" t="inlineStr"/>
      <c r="F27" s="5" t="inlineStr"/>
      <c r="G27" s="5" t="inlineStr"/>
      <c r="H27" s="5" t="inlineStr"/>
      <c r="I27" s="5" t="inlineStr">
        <is>
          <t>[LaborCost]+[PartsCost]</t>
        </is>
      </c>
      <c r="J27" s="5" t="inlineStr">
        <is>
          <t>App formula</t>
        </is>
      </c>
    </row>
    <row r="28">
      <c r="A28" s="5" t="inlineStr">
        <is>
          <t>Assignments</t>
        </is>
      </c>
      <c r="B28" s="5" t="inlineStr">
        <is>
          <t>AssignmentID</t>
        </is>
      </c>
      <c r="C28" s="5" t="inlineStr">
        <is>
          <t>รหัสมอบหมาย</t>
        </is>
      </c>
      <c r="D28" s="5" t="inlineStr">
        <is>
          <t>Text</t>
        </is>
      </c>
      <c r="E28" s="5" t="inlineStr">
        <is>
          <t>Y</t>
        </is>
      </c>
      <c r="F28" s="5" t="inlineStr"/>
      <c r="G28" s="5" t="inlineStr"/>
      <c r="H28" s="5" t="inlineStr">
        <is>
          <t>UNIQUEID()</t>
        </is>
      </c>
      <c r="I28" s="5" t="inlineStr"/>
      <c r="J28" s="5" t="inlineStr"/>
    </row>
    <row r="29">
      <c r="A29" s="5" t="inlineStr">
        <is>
          <t>Assignments</t>
        </is>
      </c>
      <c r="B29" s="5" t="inlineStr">
        <is>
          <t>WorkOrderID</t>
        </is>
      </c>
      <c r="C29" s="5" t="inlineStr">
        <is>
          <t>ใบงาน</t>
        </is>
      </c>
      <c r="D29" s="5" t="inlineStr">
        <is>
          <t>Ref</t>
        </is>
      </c>
      <c r="E29" s="5" t="inlineStr"/>
      <c r="F29" s="5" t="inlineStr"/>
      <c r="G29" s="5" t="inlineStr">
        <is>
          <t>WorkOrders</t>
        </is>
      </c>
      <c r="H29" s="5" t="inlineStr"/>
      <c r="I29" s="5" t="inlineStr"/>
      <c r="J29" s="5" t="inlineStr">
        <is>
          <t>เปิด Is a part of</t>
        </is>
      </c>
    </row>
    <row r="30">
      <c r="A30" s="5" t="inlineStr">
        <is>
          <t>Assignments</t>
        </is>
      </c>
      <c r="B30" s="5" t="inlineStr">
        <is>
          <t>TechnicianID</t>
        </is>
      </c>
      <c r="C30" s="5" t="inlineStr">
        <is>
          <t>ช่าง</t>
        </is>
      </c>
      <c r="D30" s="5" t="inlineStr">
        <is>
          <t>Ref</t>
        </is>
      </c>
      <c r="E30" s="5" t="inlineStr"/>
      <c r="F30" s="5" t="inlineStr"/>
      <c r="G30" s="5" t="inlineStr">
        <is>
          <t>Technicians</t>
        </is>
      </c>
      <c r="H30" s="5" t="inlineStr"/>
      <c r="I30" s="5" t="inlineStr"/>
      <c r="J30" s="5" t="inlineStr"/>
    </row>
    <row r="31">
      <c r="A31" s="5" t="inlineStr">
        <is>
          <t>Assignments</t>
        </is>
      </c>
      <c r="B31" s="5" t="inlineStr">
        <is>
          <t>AcceptedAt</t>
        </is>
      </c>
      <c r="C31" s="5" t="inlineStr">
        <is>
          <t>เวลารับงาน</t>
        </is>
      </c>
      <c r="D31" s="5" t="inlineStr">
        <is>
          <t>DateTime</t>
        </is>
      </c>
      <c r="E31" s="5" t="inlineStr"/>
      <c r="F31" s="5" t="inlineStr"/>
      <c r="G31" s="5" t="inlineStr"/>
      <c r="H31" s="5" t="inlineStr"/>
      <c r="I31" s="5" t="inlineStr"/>
      <c r="J31" s="5" t="inlineStr">
        <is>
          <t>ตั้งด้วย Action NOW()</t>
        </is>
      </c>
    </row>
    <row r="32">
      <c r="A32" s="5" t="inlineStr">
        <is>
          <t>RepairHistory</t>
        </is>
      </c>
      <c r="B32" s="5" t="inlineStr">
        <is>
          <t>RepairHistoryID</t>
        </is>
      </c>
      <c r="C32" s="5" t="inlineStr">
        <is>
          <t>รหัสประวัติ</t>
        </is>
      </c>
      <c r="D32" s="5" t="inlineStr">
        <is>
          <t>Text</t>
        </is>
      </c>
      <c r="E32" s="5" t="inlineStr">
        <is>
          <t>Y</t>
        </is>
      </c>
      <c r="F32" s="5" t="inlineStr"/>
      <c r="G32" s="5" t="inlineStr"/>
      <c r="H32" s="5" t="inlineStr">
        <is>
          <t>UNIQUEID()</t>
        </is>
      </c>
      <c r="I32" s="5" t="inlineStr"/>
      <c r="J32" s="5" t="inlineStr"/>
    </row>
    <row r="33">
      <c r="A33" s="5" t="inlineStr">
        <is>
          <t>RepairHistory</t>
        </is>
      </c>
      <c r="B33" s="5" t="inlineStr">
        <is>
          <t>WorkOrderID</t>
        </is>
      </c>
      <c r="C33" s="5" t="inlineStr">
        <is>
          <t>ใบงานต้นทาง</t>
        </is>
      </c>
      <c r="D33" s="5" t="inlineStr">
        <is>
          <t>Ref</t>
        </is>
      </c>
      <c r="E33" s="5" t="inlineStr"/>
      <c r="F33" s="5" t="inlineStr"/>
      <c r="G33" s="5" t="inlineStr">
        <is>
          <t>WorkOrders</t>
        </is>
      </c>
      <c r="H33" s="5" t="inlineStr"/>
      <c r="I33" s="5" t="inlineStr"/>
      <c r="J33" s="5" t="inlineStr">
        <is>
          <t>สร้างด้วย Bot เมื่อ Closed</t>
        </is>
      </c>
    </row>
    <row r="34">
      <c r="A34" s="5" t="inlineStr">
        <is>
          <t>RepairHistory</t>
        </is>
      </c>
      <c r="B34" s="5" t="inlineStr">
        <is>
          <t>MachineID</t>
        </is>
      </c>
      <c r="C34" s="5" t="inlineStr">
        <is>
          <t>เครื่องจักร</t>
        </is>
      </c>
      <c r="D34" s="5" t="inlineStr">
        <is>
          <t>Ref</t>
        </is>
      </c>
      <c r="E34" s="5" t="inlineStr"/>
      <c r="F34" s="5" t="inlineStr"/>
      <c r="G34" s="5" t="inlineStr">
        <is>
          <t>Machines</t>
        </is>
      </c>
      <c r="H34" s="5" t="inlineStr"/>
      <c r="I34" s="5" t="inlineStr"/>
      <c r="J34" s="5" t="inlineStr"/>
    </row>
    <row r="35">
      <c r="A35" s="5" t="inlineStr">
        <is>
          <t>RepairHistory</t>
        </is>
      </c>
      <c r="B35" s="5" t="inlineStr">
        <is>
          <t>RepairMinutes</t>
        </is>
      </c>
      <c r="C35" s="5" t="inlineStr">
        <is>
          <t>เวลาซ่อมจริง</t>
        </is>
      </c>
      <c r="D35" s="5" t="inlineStr">
        <is>
          <t>Number</t>
        </is>
      </c>
      <c r="E35" s="5" t="inlineStr"/>
      <c r="F35" s="5" t="inlineStr"/>
      <c r="G35" s="5" t="inlineStr"/>
      <c r="H35" s="5" t="inlineStr"/>
      <c r="I35" s="5" t="inlineStr">
        <is>
          <t>ROUND(1440*([RepairEnd]-[RepairStart]))</t>
        </is>
      </c>
      <c r="J35" s="5" t="inlineStr">
        <is>
          <t>ใช้คำนวณ MTTR</t>
        </is>
      </c>
    </row>
    <row r="36">
      <c r="A36" s="5" t="inlineStr">
        <is>
          <t>RepairHistory</t>
        </is>
      </c>
      <c r="B36" s="5" t="inlineStr">
        <is>
          <t>FailureIntervalHours</t>
        </is>
      </c>
      <c r="C36" s="5" t="inlineStr">
        <is>
          <t>ชั่วโมงระหว่างเสีย</t>
        </is>
      </c>
      <c r="D36" s="5" t="inlineStr">
        <is>
          <t>Decimal</t>
        </is>
      </c>
      <c r="E36" s="5" t="inlineStr"/>
      <c r="F36" s="5" t="inlineStr"/>
      <c r="G36" s="5" t="inlineStr"/>
      <c r="H36" s="5" t="inlineStr"/>
      <c r="I36" s="5" t="inlineStr">
        <is>
          <t>IF(ISBLANK(MAX(SELECT(RepairHistory[ReturnedToService],[MachineID]=[_THISROW].[MachineID]))),"",24*([FailureStart]-MAX(SELECT(RepairHistory[ReturnedToService],[MachineID]=[_THISROW].[MachineID]))))</t>
        </is>
      </c>
      <c r="J36" s="5" t="inlineStr">
        <is>
          <t>ใช้คำนวณ MTBF</t>
        </is>
      </c>
    </row>
    <row r="37">
      <c r="A37" s="5" t="inlineStr">
        <is>
          <t>Parts</t>
        </is>
      </c>
      <c r="B37" s="5" t="inlineStr">
        <is>
          <t>PartID</t>
        </is>
      </c>
      <c r="C37" s="5" t="inlineStr">
        <is>
          <t>รหัสอะไหล่</t>
        </is>
      </c>
      <c r="D37" s="5" t="inlineStr">
        <is>
          <t>Text</t>
        </is>
      </c>
      <c r="E37" s="5" t="inlineStr">
        <is>
          <t>Y</t>
        </is>
      </c>
      <c r="F37" s="5" t="inlineStr"/>
      <c r="G37" s="5" t="inlineStr"/>
      <c r="H37" s="5" t="inlineStr">
        <is>
          <t>UNIQUEID()</t>
        </is>
      </c>
      <c r="I37" s="5" t="inlineStr"/>
      <c r="J37" s="5" t="inlineStr"/>
    </row>
    <row r="38">
      <c r="A38" s="5" t="inlineStr">
        <is>
          <t>Parts</t>
        </is>
      </c>
      <c r="B38" s="5" t="inlineStr">
        <is>
          <t>PartCode</t>
        </is>
      </c>
      <c r="C38" s="5" t="inlineStr">
        <is>
          <t>รหัสอะไหล่</t>
        </is>
      </c>
      <c r="D38" s="5" t="inlineStr">
        <is>
          <t>Text</t>
        </is>
      </c>
      <c r="E38" s="5" t="inlineStr"/>
      <c r="F38" s="5" t="inlineStr">
        <is>
          <t>Y</t>
        </is>
      </c>
      <c r="G38" s="5" t="inlineStr"/>
      <c r="H38" s="5" t="inlineStr"/>
      <c r="I38" s="5" t="inlineStr"/>
      <c r="J38" s="5" t="inlineStr"/>
    </row>
    <row r="39">
      <c r="A39" s="5" t="inlineStr">
        <is>
          <t>PartUsage</t>
        </is>
      </c>
      <c r="B39" s="5" t="inlineStr">
        <is>
          <t>PartUsageID</t>
        </is>
      </c>
      <c r="C39" s="5" t="inlineStr">
        <is>
          <t>รหัสเบิก</t>
        </is>
      </c>
      <c r="D39" s="5" t="inlineStr">
        <is>
          <t>Text</t>
        </is>
      </c>
      <c r="E39" s="5" t="inlineStr">
        <is>
          <t>Y</t>
        </is>
      </c>
      <c r="F39" s="5" t="inlineStr"/>
      <c r="G39" s="5" t="inlineStr"/>
      <c r="H39" s="5" t="inlineStr">
        <is>
          <t>UNIQUEID()</t>
        </is>
      </c>
      <c r="I39" s="5" t="inlineStr"/>
      <c r="J39" s="5" t="inlineStr"/>
    </row>
    <row r="40">
      <c r="A40" s="5" t="inlineStr">
        <is>
          <t>PartUsage</t>
        </is>
      </c>
      <c r="B40" s="5" t="inlineStr">
        <is>
          <t>WorkOrderID</t>
        </is>
      </c>
      <c r="C40" s="5" t="inlineStr">
        <is>
          <t>ใบงาน</t>
        </is>
      </c>
      <c r="D40" s="5" t="inlineStr">
        <is>
          <t>Ref</t>
        </is>
      </c>
      <c r="E40" s="5" t="inlineStr"/>
      <c r="F40" s="5" t="inlineStr"/>
      <c r="G40" s="5" t="inlineStr">
        <is>
          <t>WorkOrders</t>
        </is>
      </c>
      <c r="H40" s="5" t="inlineStr"/>
      <c r="I40" s="5" t="inlineStr"/>
      <c r="J40" s="5" t="inlineStr">
        <is>
          <t>เปิด Is a part of</t>
        </is>
      </c>
    </row>
    <row r="41">
      <c r="A41" s="5" t="inlineStr">
        <is>
          <t>PartUsage</t>
        </is>
      </c>
      <c r="B41" s="5" t="inlineStr">
        <is>
          <t>PartID</t>
        </is>
      </c>
      <c r="C41" s="5" t="inlineStr">
        <is>
          <t>อะไหล่</t>
        </is>
      </c>
      <c r="D41" s="5" t="inlineStr">
        <is>
          <t>Ref</t>
        </is>
      </c>
      <c r="E41" s="5" t="inlineStr"/>
      <c r="F41" s="5" t="inlineStr"/>
      <c r="G41" s="5" t="inlineStr">
        <is>
          <t>Parts</t>
        </is>
      </c>
      <c r="H41" s="5" t="inlineStr"/>
      <c r="I41" s="5" t="inlineStr">
        <is>
          <t>SELECT(Parts[PartID],[Active]=TRUE)</t>
        </is>
      </c>
      <c r="J41" s="5" t="inlineStr"/>
    </row>
    <row r="42">
      <c r="A42" s="5" t="inlineStr">
        <is>
          <t>PartUsage</t>
        </is>
      </c>
      <c r="B42" s="5" t="inlineStr">
        <is>
          <t>UnitCost</t>
        </is>
      </c>
      <c r="C42" s="5" t="inlineStr">
        <is>
          <t>ราคาต่อหน่วย</t>
        </is>
      </c>
      <c r="D42" s="5" t="inlineStr">
        <is>
          <t>Price</t>
        </is>
      </c>
      <c r="E42" s="5" t="inlineStr"/>
      <c r="F42" s="5" t="inlineStr"/>
      <c r="G42" s="5" t="inlineStr"/>
      <c r="H42" s="5" t="inlineStr">
        <is>
          <t>[PartID].[UnitCost]</t>
        </is>
      </c>
      <c r="I42" s="5" t="inlineStr"/>
      <c r="J42" s="5" t="inlineStr">
        <is>
          <t>Initial value</t>
        </is>
      </c>
    </row>
    <row r="43">
      <c r="A43" s="5" t="inlineStr">
        <is>
          <t>PartUsage</t>
        </is>
      </c>
      <c r="B43" s="5" t="inlineStr">
        <is>
          <t>LineTotal</t>
        </is>
      </c>
      <c r="C43" s="5" t="inlineStr">
        <is>
          <t>รวมรายการ</t>
        </is>
      </c>
      <c r="D43" s="5" t="inlineStr">
        <is>
          <t>Price</t>
        </is>
      </c>
      <c r="E43" s="5" t="inlineStr"/>
      <c r="F43" s="5" t="inlineStr"/>
      <c r="G43" s="5" t="inlineStr"/>
      <c r="H43" s="5" t="inlineStr"/>
      <c r="I43" s="5" t="inlineStr">
        <is>
          <t>[Quantity]*[UnitCost]</t>
        </is>
      </c>
      <c r="J43" s="5" t="inlineStr">
        <is>
          <t>App formula</t>
        </is>
      </c>
    </row>
    <row r="44">
      <c r="A44" s="5" t="inlineStr">
        <is>
          <t>StatusLog</t>
        </is>
      </c>
      <c r="B44" s="5" t="inlineStr">
        <is>
          <t>StatusLogID</t>
        </is>
      </c>
      <c r="C44" s="5" t="inlineStr">
        <is>
          <t>รหัสสถานะ</t>
        </is>
      </c>
      <c r="D44" s="5" t="inlineStr">
        <is>
          <t>Text</t>
        </is>
      </c>
      <c r="E44" s="5" t="inlineStr">
        <is>
          <t>Y</t>
        </is>
      </c>
      <c r="F44" s="5" t="inlineStr"/>
      <c r="G44" s="5" t="inlineStr"/>
      <c r="H44" s="5" t="inlineStr">
        <is>
          <t>UNIQUEID()</t>
        </is>
      </c>
      <c r="I44" s="5" t="inlineStr"/>
      <c r="J44" s="5" t="inlineStr"/>
    </row>
    <row r="45">
      <c r="A45" s="5" t="inlineStr">
        <is>
          <t>StatusLog</t>
        </is>
      </c>
      <c r="B45" s="5" t="inlineStr">
        <is>
          <t>WorkOrderID</t>
        </is>
      </c>
      <c r="C45" s="5" t="inlineStr">
        <is>
          <t>ใบงาน</t>
        </is>
      </c>
      <c r="D45" s="5" t="inlineStr">
        <is>
          <t>Ref</t>
        </is>
      </c>
      <c r="E45" s="5" t="inlineStr"/>
      <c r="F45" s="5" t="inlineStr"/>
      <c r="G45" s="5" t="inlineStr">
        <is>
          <t>WorkOrders</t>
        </is>
      </c>
      <c r="H45" s="5" t="inlineStr"/>
      <c r="I45" s="5" t="inlineStr"/>
      <c r="J45" s="5" t="inlineStr">
        <is>
          <t>เปิด Is a part of</t>
        </is>
      </c>
    </row>
    <row r="46">
      <c r="A46" s="5" t="inlineStr">
        <is>
          <t>StatusLog</t>
        </is>
      </c>
      <c r="B46" s="5" t="inlineStr">
        <is>
          <t>ChangedAt</t>
        </is>
      </c>
      <c r="C46" s="5" t="inlineStr">
        <is>
          <t>เวลาเปลี่ยน</t>
        </is>
      </c>
      <c r="D46" s="5" t="inlineStr">
        <is>
          <t>DateTime</t>
        </is>
      </c>
      <c r="E46" s="5" t="inlineStr"/>
      <c r="F46" s="5" t="inlineStr"/>
      <c r="G46" s="5" t="inlineStr"/>
      <c r="H46" s="5" t="inlineStr">
        <is>
          <t>NOW()</t>
        </is>
      </c>
      <c r="I46" s="5" t="inlineStr"/>
      <c r="J46" s="5" t="inlineStr"/>
    </row>
    <row r="47">
      <c r="A47" s="5" t="inlineStr">
        <is>
          <t>StatusLog</t>
        </is>
      </c>
      <c r="B47" s="5" t="inlineStr">
        <is>
          <t>ChangedByEmail</t>
        </is>
      </c>
      <c r="C47" s="5" t="inlineStr">
        <is>
          <t>ผู้เปลี่ยน</t>
        </is>
      </c>
      <c r="D47" s="5" t="inlineStr">
        <is>
          <t>Email</t>
        </is>
      </c>
      <c r="E47" s="5" t="inlineStr"/>
      <c r="F47" s="5" t="inlineStr"/>
      <c r="G47" s="5" t="inlineStr"/>
      <c r="H47" s="5" t="inlineStr">
        <is>
          <t>USEREMAIL()</t>
        </is>
      </c>
      <c r="I47" s="5" t="inlineStr"/>
      <c r="J47" s="5" t="inlineStr"/>
    </row>
  </sheetData>
  <autoFilter ref="A3:J47"/>
  <mergeCells count="2">
    <mergeCell ref="A1:J1"/>
    <mergeCell ref="A2:J2"/>
  </mergeCells>
  <pageMargins left="0.25" right="0.25" top="0.5" bottom="0.5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ProblemCategoryList</t>
        </is>
      </c>
      <c r="B1" t="inlineStr">
        <is>
          <t>PriorityList</t>
        </is>
      </c>
      <c r="C1" t="inlineStr">
        <is>
          <t>WorkOrderStatusList</t>
        </is>
      </c>
      <c r="D1" t="inlineStr">
        <is>
          <t>AssignmentRoleList</t>
        </is>
      </c>
      <c r="E1" t="inlineStr">
        <is>
          <t>AssignmentStatusList</t>
        </is>
      </c>
      <c r="F1" t="inlineStr">
        <is>
          <t>MachineStatusList</t>
        </is>
      </c>
      <c r="G1" t="inlineStr">
        <is>
          <t>CriticalityList</t>
        </is>
      </c>
      <c r="H1" t="inlineStr">
        <is>
          <t>SkillGroupList</t>
        </is>
      </c>
      <c r="I1" t="inlineStr">
        <is>
          <t>AppRoleList</t>
        </is>
      </c>
      <c r="J1" t="inlineStr">
        <is>
          <t>PartCategoryList</t>
        </is>
      </c>
      <c r="K1" t="inlineStr">
        <is>
          <t>UnitList</t>
        </is>
      </c>
      <c r="L1" t="inlineStr">
        <is>
          <t>BooleanList</t>
        </is>
      </c>
      <c r="M1" t="inlineStr">
        <is>
          <t>RatingList</t>
        </is>
      </c>
    </row>
    <row r="2">
      <c r="A2" t="inlineStr">
        <is>
          <t>Mechanical</t>
        </is>
      </c>
      <c r="B2" t="inlineStr">
        <is>
          <t>Critical</t>
        </is>
      </c>
      <c r="C2" t="inlineStr">
        <is>
          <t>New</t>
        </is>
      </c>
      <c r="D2" t="inlineStr">
        <is>
          <t>Lead</t>
        </is>
      </c>
      <c r="E2" t="inlineStr">
        <is>
          <t>Assigned</t>
        </is>
      </c>
      <c r="F2" t="inlineStr">
        <is>
          <t>Running</t>
        </is>
      </c>
      <c r="G2" t="inlineStr">
        <is>
          <t>High</t>
        </is>
      </c>
      <c r="H2" t="inlineStr">
        <is>
          <t>Mechanical</t>
        </is>
      </c>
      <c r="I2" t="inlineStr">
        <is>
          <t>Admin</t>
        </is>
      </c>
      <c r="J2" t="inlineStr">
        <is>
          <t>Bearing</t>
        </is>
      </c>
      <c r="K2" t="inlineStr">
        <is>
          <t>ชิ้น</t>
        </is>
      </c>
      <c r="L2" t="b">
        <v>1</v>
      </c>
      <c r="M2" t="n">
        <v>1</v>
      </c>
    </row>
    <row r="3">
      <c r="A3" t="inlineStr">
        <is>
          <t>Electrical</t>
        </is>
      </c>
      <c r="B3" t="inlineStr">
        <is>
          <t>High</t>
        </is>
      </c>
      <c r="C3" t="inlineStr">
        <is>
          <t>Assigned</t>
        </is>
      </c>
      <c r="D3" t="inlineStr">
        <is>
          <t>Assistant</t>
        </is>
      </c>
      <c r="E3" t="inlineStr">
        <is>
          <t>Accepted</t>
        </is>
      </c>
      <c r="F3" t="inlineStr">
        <is>
          <t>Standby</t>
        </is>
      </c>
      <c r="G3" t="inlineStr">
        <is>
          <t>Medium</t>
        </is>
      </c>
      <c r="H3" t="inlineStr">
        <is>
          <t>Electrical</t>
        </is>
      </c>
      <c r="I3" t="inlineStr">
        <is>
          <t>Manager</t>
        </is>
      </c>
      <c r="J3" t="inlineStr">
        <is>
          <t>Belt</t>
        </is>
      </c>
      <c r="K3" t="inlineStr">
        <is>
          <t>เส้น</t>
        </is>
      </c>
      <c r="L3" t="b">
        <v>0</v>
      </c>
      <c r="M3" t="n">
        <v>2</v>
      </c>
    </row>
    <row r="4">
      <c r="A4" t="inlineStr">
        <is>
          <t>Hydraulic</t>
        </is>
      </c>
      <c r="B4" t="inlineStr">
        <is>
          <t>Medium</t>
        </is>
      </c>
      <c r="C4" t="inlineStr">
        <is>
          <t>Accepted</t>
        </is>
      </c>
      <c r="D4" t="inlineStr">
        <is>
          <t>Specialist</t>
        </is>
      </c>
      <c r="E4" t="inlineStr">
        <is>
          <t>Working</t>
        </is>
      </c>
      <c r="F4" t="inlineStr">
        <is>
          <t>Under Repair</t>
        </is>
      </c>
      <c r="G4" t="inlineStr">
        <is>
          <t>Low</t>
        </is>
      </c>
      <c r="H4" t="inlineStr">
        <is>
          <t>Hydraulic</t>
        </is>
      </c>
      <c r="I4" t="inlineStr">
        <is>
          <t>Technician</t>
        </is>
      </c>
      <c r="J4" t="inlineStr">
        <is>
          <t>Valve</t>
        </is>
      </c>
      <c r="K4" t="inlineStr">
        <is>
          <t>ลิตร</t>
        </is>
      </c>
      <c r="M4" t="n">
        <v>3</v>
      </c>
    </row>
    <row r="5">
      <c r="A5" t="inlineStr">
        <is>
          <t>Pneumatic</t>
        </is>
      </c>
      <c r="B5" t="inlineStr">
        <is>
          <t>Low</t>
        </is>
      </c>
      <c r="C5" t="inlineStr">
        <is>
          <t>In Progress</t>
        </is>
      </c>
      <c r="E5" t="inlineStr">
        <is>
          <t>Paused</t>
        </is>
      </c>
      <c r="F5" t="inlineStr">
        <is>
          <t>Out of Service</t>
        </is>
      </c>
      <c r="H5" t="inlineStr">
        <is>
          <t>Pneumatic</t>
        </is>
      </c>
      <c r="I5" t="inlineStr">
        <is>
          <t>Requester</t>
        </is>
      </c>
      <c r="J5" t="inlineStr">
        <is>
          <t>Lubricant</t>
        </is>
      </c>
      <c r="K5" t="inlineStr">
        <is>
          <t>ชุด</t>
        </is>
      </c>
      <c r="M5" t="n">
        <v>4</v>
      </c>
    </row>
    <row r="6">
      <c r="A6" t="inlineStr">
        <is>
          <t>Automation</t>
        </is>
      </c>
      <c r="C6" t="inlineStr">
        <is>
          <t>Waiting Parts</t>
        </is>
      </c>
      <c r="E6" t="inlineStr">
        <is>
          <t>Finished</t>
        </is>
      </c>
      <c r="H6" t="inlineStr">
        <is>
          <t>Automation</t>
        </is>
      </c>
      <c r="J6" t="inlineStr">
        <is>
          <t>Sensor</t>
        </is>
      </c>
      <c r="K6" t="inlineStr">
        <is>
          <t>เมตร</t>
        </is>
      </c>
      <c r="M6" t="n">
        <v>5</v>
      </c>
    </row>
    <row r="7">
      <c r="A7" t="inlineStr">
        <is>
          <t>Software</t>
        </is>
      </c>
      <c r="C7" t="inlineStr">
        <is>
          <t>Completed</t>
        </is>
      </c>
      <c r="E7" t="inlineStr">
        <is>
          <t>Cancelled</t>
        </is>
      </c>
      <c r="H7" t="inlineStr">
        <is>
          <t>Software</t>
        </is>
      </c>
      <c r="J7" t="inlineStr">
        <is>
          <t>Electrical</t>
        </is>
      </c>
      <c r="K7" t="inlineStr">
        <is>
          <t>กิโลกรัม</t>
        </is>
      </c>
    </row>
    <row r="8">
      <c r="A8" t="inlineStr">
        <is>
          <t>Quality</t>
        </is>
      </c>
      <c r="C8" t="inlineStr">
        <is>
          <t>Verified</t>
        </is>
      </c>
      <c r="H8" t="inlineStr">
        <is>
          <t>Management</t>
        </is>
      </c>
      <c r="J8" t="inlineStr">
        <is>
          <t>Seal</t>
        </is>
      </c>
    </row>
    <row r="9">
      <c r="A9" t="inlineStr">
        <is>
          <t>Safety</t>
        </is>
      </c>
      <c r="C9" t="inlineStr">
        <is>
          <t>Closed</t>
        </is>
      </c>
      <c r="J9" t="inlineStr">
        <is>
          <t>Filter</t>
        </is>
      </c>
    </row>
    <row r="10">
      <c r="A10" t="inlineStr">
        <is>
          <t>Other</t>
        </is>
      </c>
      <c r="C10" t="inlineStr">
        <is>
          <t>Cancelled</t>
        </is>
      </c>
      <c r="J10" t="inlineStr">
        <is>
          <t>Other</t>
        </is>
      </c>
    </row>
  </sheetData>
  <pageMargins left="0.25" right="0.25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ระบบแจ้งซ่อมเครื่องจักร CMMS สำหรับ Google Sheets และ AppSheet</dc:title>
  <dc:subject xmlns:dc="http://purl.org/dc/elements/1.1/">CMMS ภาษาไทย พร้อม Dashboard Downtime, MTTR, MTBF</dc:subject>
  <dcterms:created xmlns:dcterms="http://purl.org/dc/terms/" xmlns:xsi="http://www.w3.org/2001/XMLSchema-instance" xsi:type="dcterms:W3CDTF">2026-10-23T03:10:52Z</dcterms:created>
  <dcterms:modified xmlns:dcterms="http://purl.org/dc/terms/" xmlns:xsi="http://www.w3.org/2001/XMLSchema-instance" xsi:type="dcterms:W3CDTF">2026-10-23T03:10:52Z</dcterms:modified>
</cp:coreProperties>
</file>